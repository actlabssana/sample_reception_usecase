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hans\Downloads\"/>
    </mc:Choice>
  </mc:AlternateContent>
  <xr:revisionPtr revIDLastSave="0" documentId="13_ncr:1_{B75FFAFB-295D-44F3-AD81-0834AA2FC4A6}" xr6:coauthVersionLast="47" xr6:coauthVersionMax="47" xr10:uidLastSave="{00000000-0000-0000-0000-000000000000}"/>
  <bookViews>
    <workbookView xWindow="-108" yWindow="-108" windowWidth="30936" windowHeight="16776" tabRatio="927" firstSheet="3" activeTab="3" xr2:uid="{00000000-000D-0000-FFFF-FFFF00000000}"/>
  </bookViews>
  <sheets>
    <sheet name="README" sheetId="1" r:id="rId1"/>
    <sheet name="Assumptions" sheetId="2" r:id="rId2"/>
    <sheet name="GPU_Rental" sheetId="3" r:id="rId3"/>
    <sheet name="GPU_Sizing" sheetId="4" r:id="rId4"/>
    <sheet name="SelfHost_Llama_8B" sheetId="5" r:id="rId5"/>
    <sheet name="SelfHost_Mistral_24B" sheetId="6" r:id="rId6"/>
    <sheet name="SelfHost_Llama_70B" sheetId="7" r:id="rId7"/>
    <sheet name="Cohere_Private" sheetId="8" r:id="rId8"/>
    <sheet name="OCR_AWS_Textract" sheetId="9" r:id="rId9"/>
    <sheet name="OCR_GCP_DocAI" sheetId="10" r:id="rId10"/>
    <sheet name="OCR_Azure_DI" sheetId="11" r:id="rId11"/>
    <sheet name="OCR_SelfHosted" sheetId="12" r:id="rId12"/>
    <sheet name="OCR_LLM_Pipeline" sheetId="13" r:id="rId13"/>
    <sheet name="TCO_Summary" sheetId="14" r:id="rId14"/>
    <sheet name="Accuracy_SpotCheck" sheetId="15" r:id="rId15"/>
    <sheet name="Residency_Compliance" sheetId="16" r:id="rId16"/>
    <sheet name="Scoring_Matrix" sheetId="17" r:id="rId17"/>
    <sheet name="Recommendation" sheetId="18" r:id="rId18"/>
    <sheet name="Pricing_References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17" l="1"/>
  <c r="F13" i="17" s="1"/>
  <c r="E12" i="17"/>
  <c r="E13" i="17" s="1"/>
  <c r="D12" i="17"/>
  <c r="D13" i="17" s="1"/>
  <c r="C12" i="17"/>
  <c r="C13" i="17" s="1"/>
  <c r="B11" i="17"/>
  <c r="E5" i="15"/>
  <c r="D5" i="15"/>
  <c r="D12" i="13"/>
  <c r="D11" i="13"/>
  <c r="B5" i="13"/>
  <c r="C15" i="13" s="1"/>
  <c r="E15" i="13" s="1"/>
  <c r="B3" i="11"/>
  <c r="B3" i="10"/>
  <c r="B3" i="9"/>
  <c r="C15" i="8"/>
  <c r="B15" i="8"/>
  <c r="B9" i="8"/>
  <c r="B8" i="8"/>
  <c r="C13" i="8" s="1"/>
  <c r="B7" i="8"/>
  <c r="B14" i="8" s="1"/>
  <c r="B6" i="8"/>
  <c r="B13" i="8" s="1"/>
  <c r="B5" i="8"/>
  <c r="B4" i="8"/>
  <c r="B22" i="7"/>
  <c r="B21" i="7"/>
  <c r="B20" i="7"/>
  <c r="C15" i="7"/>
  <c r="B15" i="7"/>
  <c r="B9" i="7"/>
  <c r="B8" i="7"/>
  <c r="B7" i="7"/>
  <c r="B14" i="7" s="1"/>
  <c r="B6" i="7"/>
  <c r="B13" i="7" s="1"/>
  <c r="B16" i="7" s="1"/>
  <c r="B5" i="7"/>
  <c r="B4" i="7"/>
  <c r="B22" i="6"/>
  <c r="B21" i="6"/>
  <c r="B20" i="6"/>
  <c r="C15" i="6"/>
  <c r="B15" i="6"/>
  <c r="B9" i="6"/>
  <c r="B8" i="6"/>
  <c r="C13" i="6" s="1"/>
  <c r="B7" i="6"/>
  <c r="B14" i="6" s="1"/>
  <c r="B6" i="6"/>
  <c r="B5" i="6"/>
  <c r="B4" i="6"/>
  <c r="B22" i="5"/>
  <c r="B21" i="5"/>
  <c r="B20" i="5"/>
  <c r="C15" i="5"/>
  <c r="B15" i="5"/>
  <c r="B9" i="5"/>
  <c r="B8" i="5"/>
  <c r="C13" i="5" s="1"/>
  <c r="C16" i="5" s="1"/>
  <c r="B7" i="5"/>
  <c r="B14" i="5" s="1"/>
  <c r="B6" i="5"/>
  <c r="B13" i="5" s="1"/>
  <c r="B16" i="5" s="1"/>
  <c r="B5" i="5"/>
  <c r="B4" i="5"/>
  <c r="C9" i="4"/>
  <c r="D9" i="4" s="1"/>
  <c r="E9" i="4" s="1"/>
  <c r="B9" i="4"/>
  <c r="A9" i="4"/>
  <c r="C8" i="4"/>
  <c r="D8" i="4" s="1"/>
  <c r="E8" i="4" s="1"/>
  <c r="B8" i="4"/>
  <c r="A8" i="4"/>
  <c r="C7" i="4"/>
  <c r="D7" i="4" s="1"/>
  <c r="E7" i="4" s="1"/>
  <c r="B7" i="4"/>
  <c r="A7" i="4"/>
  <c r="C6" i="4"/>
  <c r="D6" i="4" s="1"/>
  <c r="E6" i="4" s="1"/>
  <c r="B6" i="4"/>
  <c r="A6" i="4"/>
  <c r="C5" i="4"/>
  <c r="D5" i="4" s="1"/>
  <c r="E5" i="4" s="1"/>
  <c r="B5" i="4"/>
  <c r="A5" i="4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C7" i="2"/>
  <c r="C6" i="2"/>
  <c r="C5" i="2"/>
  <c r="B13" i="6" l="1"/>
  <c r="C16" i="8"/>
  <c r="C13" i="7"/>
  <c r="C16" i="7" s="1"/>
  <c r="C16" i="6"/>
  <c r="E22" i="5"/>
  <c r="E21" i="5"/>
  <c r="E20" i="5"/>
  <c r="B16" i="6"/>
  <c r="C13" i="13"/>
  <c r="E13" i="13" s="1"/>
  <c r="C12" i="13"/>
  <c r="E12" i="13" s="1"/>
  <c r="C11" i="13"/>
  <c r="E11" i="13" s="1"/>
  <c r="E21" i="8"/>
  <c r="E22" i="8"/>
  <c r="E20" i="8"/>
  <c r="E22" i="7"/>
  <c r="E20" i="7"/>
  <c r="E21" i="7"/>
  <c r="D21" i="7"/>
  <c r="D22" i="7"/>
  <c r="D20" i="7"/>
  <c r="C21" i="7"/>
  <c r="C22" i="7"/>
  <c r="B7" i="14"/>
  <c r="D7" i="14"/>
  <c r="B7" i="13"/>
  <c r="C20" i="7"/>
  <c r="C7" i="14"/>
  <c r="E21" i="6"/>
  <c r="E20" i="6"/>
  <c r="E22" i="6"/>
  <c r="D20" i="6"/>
  <c r="D21" i="6"/>
  <c r="D22" i="6"/>
  <c r="C20" i="6"/>
  <c r="C21" i="6"/>
  <c r="C22" i="6"/>
  <c r="B6" i="14"/>
  <c r="D6" i="14"/>
  <c r="C6" i="14"/>
  <c r="D20" i="5"/>
  <c r="D21" i="5"/>
  <c r="D22" i="5"/>
  <c r="C20" i="5"/>
  <c r="C21" i="5"/>
  <c r="C22" i="5"/>
  <c r="D5" i="14"/>
  <c r="B5" i="14"/>
  <c r="C5" i="14"/>
  <c r="F9" i="4"/>
  <c r="G9" i="4"/>
  <c r="H9" i="4"/>
  <c r="F8" i="4"/>
  <c r="G8" i="4"/>
  <c r="H8" i="4"/>
  <c r="F7" i="4"/>
  <c r="G7" i="4"/>
  <c r="H7" i="4"/>
  <c r="F6" i="4"/>
  <c r="G6" i="4"/>
  <c r="H6" i="4"/>
  <c r="F5" i="4"/>
  <c r="G5" i="4"/>
  <c r="H5" i="4"/>
  <c r="B22" i="8"/>
  <c r="D22" i="8" s="1"/>
  <c r="B8" i="9"/>
  <c r="C8" i="9" s="1"/>
  <c r="D8" i="9" s="1"/>
  <c r="D12" i="14" s="1"/>
  <c r="B8" i="10"/>
  <c r="C8" i="10" s="1"/>
  <c r="D8" i="10" s="1"/>
  <c r="D13" i="14" s="1"/>
  <c r="B8" i="11"/>
  <c r="C8" i="11" s="1"/>
  <c r="D8" i="11" s="1"/>
  <c r="D14" i="14" s="1"/>
  <c r="B21" i="8"/>
  <c r="D21" i="8" s="1"/>
  <c r="B7" i="10"/>
  <c r="C7" i="10" s="1"/>
  <c r="D7" i="10" s="1"/>
  <c r="C13" i="14" s="1"/>
  <c r="B7" i="9"/>
  <c r="C7" i="9" s="1"/>
  <c r="D7" i="9" s="1"/>
  <c r="C12" i="14" s="1"/>
  <c r="B7" i="11"/>
  <c r="C7" i="11" s="1"/>
  <c r="D7" i="11" s="1"/>
  <c r="C14" i="14" s="1"/>
  <c r="B6" i="13"/>
  <c r="G15" i="13" s="1"/>
  <c r="B20" i="8"/>
  <c r="B6" i="9"/>
  <c r="C6" i="9" s="1"/>
  <c r="D6" i="9" s="1"/>
  <c r="B12" i="14" s="1"/>
  <c r="B6" i="10"/>
  <c r="C6" i="10" s="1"/>
  <c r="D6" i="10" s="1"/>
  <c r="B13" i="14" s="1"/>
  <c r="B6" i="11"/>
  <c r="C6" i="11" s="1"/>
  <c r="D6" i="11" s="1"/>
  <c r="B14" i="14" s="1"/>
  <c r="B16" i="8"/>
  <c r="D20" i="8" l="1"/>
  <c r="B8" i="14"/>
  <c r="D8" i="14"/>
  <c r="C8" i="14"/>
  <c r="C21" i="8"/>
  <c r="C20" i="8"/>
  <c r="C9" i="14"/>
  <c r="D9" i="14"/>
  <c r="B9" i="14"/>
  <c r="C22" i="8"/>
  <c r="D14" i="13"/>
  <c r="E14" i="13" s="1"/>
  <c r="G14" i="13" s="1"/>
  <c r="G13" i="13"/>
  <c r="G12" i="13"/>
  <c r="G11" i="13"/>
  <c r="E8" i="14" l="1"/>
  <c r="E6" i="14"/>
  <c r="E5" i="14"/>
  <c r="E7" i="14"/>
  <c r="E9" i="14"/>
</calcChain>
</file>

<file path=xl/sharedStrings.xml><?xml version="1.0" encoding="utf-8"?>
<sst xmlns="http://schemas.openxmlformats.org/spreadsheetml/2006/main" count="515" uniqueCount="361">
  <si>
    <t>SR2-003 — Sample-Reception LLM: TCO, Sizing, Accuracy &amp; Decision Model</t>
  </si>
  <si>
    <t>Actlabs · AI Sample Reception (Build) · Generated 2026-07-02 · Companion to the SR2-003 feasibility report</t>
  </si>
  <si>
    <t>How to use</t>
  </si>
  <si>
    <t>Colour legend</t>
  </si>
  <si>
    <t>BLUE = hardcoded input you can change · BLACK = formula · GREEN = link to another tab · YELLOW fill = placeholder/assumption needing attention (e.g. Cohere licence, unmeasured accuracy).</t>
  </si>
  <si>
    <t>Tabs</t>
  </si>
  <si>
    <t>Assumptions → GPU_Rental → GPU_Sizing → one tab per technology (SelfHost_Llama_8B, SelfHost_Mistral_24B, SelfHost_Llama_70B, Cohere_Private, OCR_AWS_Textract, OCR_GCP_DocAI, OCR_Azure_DI, OCR_SelfHosted) → OCR_LLM_Pipeline → TCO_Summary → Accuracy_SpotCheck → Residency_Compliance → Scoring_Matrix → Recommendation → Pricing_References.</t>
  </si>
  <si>
    <t>Caveats</t>
  </si>
  <si>
    <t>GPU throughput = order-of-magnitude vLLM estimates (load-test before capex). Self-hosted accuracy = class-level estimates until the accuracy_spotcheck/ harness is run on lab hardware. Cohere licence is a placeholder. Self-host totals include an MLOps FTE share (25% open / 15% Cohere) — see Assumptions OPS section.</t>
  </si>
  <si>
    <t>Assumptions — all model inputs (blue = editable)</t>
  </si>
  <si>
    <t>VOLUME  (single biggest unknown — replace with real intake figures)</t>
  </si>
  <si>
    <t>Scenario</t>
  </si>
  <si>
    <t>Forms/day</t>
  </si>
  <si>
    <t>Docs/year</t>
  </si>
  <si>
    <t>Note</t>
  </si>
  <si>
    <t>Pilot</t>
  </si>
  <si>
    <t>No intake figure supplied with SR2-003 — placeholder scenarios</t>
  </si>
  <si>
    <t>Production</t>
  </si>
  <si>
    <t>Scale</t>
  </si>
  <si>
    <t>Working days/year</t>
  </si>
  <si>
    <t>TOKEN PROFILE PER DOCUMENT</t>
  </si>
  <si>
    <t>Variable input tokens/doc</t>
  </si>
  <si>
    <t>OCR text of the form</t>
  </si>
  <si>
    <t>Cacheable input tokens/doc</t>
  </si>
  <si>
    <t>System prompt + 41-field schema — hit by prompt caching</t>
  </si>
  <si>
    <t>Output tokens/doc</t>
  </si>
  <si>
    <t>Structured JSON, 41 canonical fields</t>
  </si>
  <si>
    <t>Pages/doc</t>
  </si>
  <si>
    <t>Drives OCR per-page cost</t>
  </si>
  <si>
    <t>SLA / UTILISATION</t>
  </si>
  <si>
    <t>SLA processing window (hrs/day)</t>
  </si>
  <si>
    <t>Sustained GPU utilisation</t>
  </si>
  <si>
    <t>INFRA</t>
  </si>
  <si>
    <t>Capex amortisation (years)</t>
  </si>
  <si>
    <t>Power cost ($/kWh)</t>
  </si>
  <si>
    <t>PUE (datacentre overhead)</t>
  </si>
  <si>
    <t>Power Usage Effectiveness, it's a ratio that captures how much extra electricity a data center (or server room) burns beyond what the IT hardware itself consumes.</t>
  </si>
  <si>
    <t>Hours/year (24×7)</t>
  </si>
  <si>
    <t>GPU HARDWARE</t>
  </si>
  <si>
    <t>GPU</t>
  </si>
  <si>
    <t>Price ($)</t>
  </si>
  <si>
    <t>Watts</t>
  </si>
  <si>
    <t>Rental ($/hr, reserved)</t>
  </si>
  <si>
    <t>L40S 48GB</t>
  </si>
  <si>
    <t>Street prices / reserved cloud rates, mid-2026 — verify with vendor quotes</t>
  </si>
  <si>
    <t>H100 80GB</t>
  </si>
  <si>
    <t>A100 80GB</t>
  </si>
  <si>
    <t>MODEL CONFIGS (self-hosted serving)</t>
  </si>
  <si>
    <t>Config</t>
  </si>
  <si>
    <t>GPU row (Assumptions)</t>
  </si>
  <si>
    <t># GPUs</t>
  </si>
  <si>
    <t>Out tok/s (vLLM est.)</t>
  </si>
  <si>
    <t>Llama-3.1-8B (1× L40S, fp16)</t>
  </si>
  <si>
    <t>Throughput = order-of-magnitude batched-serving estimate — load-test before committing capex (±40%)</t>
  </si>
  <si>
    <t>Mistral-Small-24B (1× H100)</t>
  </si>
  <si>
    <t>Llama-3.3-70B (1× H100, AWQ 4-bit)</t>
  </si>
  <si>
    <t>Llama-3.3-70B (2× A100, TP2 fp16)</t>
  </si>
  <si>
    <t>Cohere Command-A/R+ (4× A100)</t>
  </si>
  <si>
    <t>LICENSING</t>
  </si>
  <si>
    <t>Cohere private-deployment licence ($/yr)</t>
  </si>
  <si>
    <t>PLACEHOLDER — negotiated per contract, not public. Get a real quote; it dominates the Cohere TCO. In talks with Kyle</t>
  </si>
  <si>
    <t>https://www.linkedin.com/in/kylepalantzas/</t>
  </si>
  <si>
    <t>OCR PRICING ($/page)</t>
  </si>
  <si>
    <t>Provider</t>
  </si>
  <si>
    <t>$/page</t>
  </si>
  <si>
    <t>AWS Textract (Forms+Tables/Queries)</t>
  </si>
  <si>
    <t>Cloud OCR egresses raw documents — breaks a strict data-residency mandate</t>
  </si>
  <si>
    <t>https://aws.amazon.com/textract/pricing/</t>
  </si>
  <si>
    <t>GCP Document AI (Form Parser)</t>
  </si>
  <si>
    <t>https://cloud.google.com/document-ai/pricing</t>
  </si>
  <si>
    <t>Azure AI Document Intelligence (Layout)</t>
  </si>
  <si>
    <t>https://azure.microsoft.com/en-us/pricing/details/ai-document-intelligence/</t>
  </si>
  <si>
    <t>MEASURED BASELINE (SR2-002)</t>
  </si>
  <si>
    <t>Regex baseline — strict accuracy</t>
  </si>
  <si>
    <t>Measured on 19-doc gold set, 14 fields / 167 instances</t>
  </si>
  <si>
    <t>Regex baseline — weighted accuracy</t>
  </si>
  <si>
    <t>Internal estimate — optimistic for a team new to GPU serving</t>
  </si>
  <si>
    <t>Rental GPU providers — quick reference (mid-2026 approx. $/GPU-hr)</t>
  </si>
  <si>
    <t>Blue = editable rate estimates; rates move weekly — verify on provider pricing pages before budgeting. Annual = rate × hrs/yr (B4).</t>
  </si>
  <si>
    <t>Tier</t>
  </si>
  <si>
    <t>H100 $/hr</t>
  </si>
  <si>
    <t>A100 $/hr</t>
  </si>
  <si>
    <t>L40S $/hr</t>
  </si>
  <si>
    <t>Spot H100</t>
  </si>
  <si>
    <t>H100 annual (24×7)</t>
  </si>
  <si>
    <t>Canada region / notes</t>
  </si>
  <si>
    <t>AWS</t>
  </si>
  <si>
    <t>Hyperscaler</t>
  </si>
  <si>
    <t>—</t>
  </si>
  <si>
    <t>YES (ca-central-1, Montreal). Post-2025 price cuts; egress fees apply</t>
  </si>
  <si>
    <t>Azure</t>
  </si>
  <si>
    <t>YES (Canada Central, Toronto). Priciest H100 tier</t>
  </si>
  <si>
    <t>GCP</t>
  </si>
  <si>
    <t>YES (Montreal/Toronto). A3 instances often 8-GPU minimum</t>
  </si>
  <si>
    <t>Lambda Labs</t>
  </si>
  <si>
    <t>Specialist</t>
  </si>
  <si>
    <t>No CA region. Simple flat pricing, AI-focused</t>
  </si>
  <si>
    <t>CoreWeave</t>
  </si>
  <si>
    <t>Reserved/quote-based; strong for committed capacity</t>
  </si>
  <si>
    <t>RunPod (Secure)</t>
  </si>
  <si>
    <t>Per-second billing; Secure vs cheaper Community tier</t>
  </si>
  <si>
    <t>Nebius</t>
  </si>
  <si>
    <t>EU-centric regions</t>
  </si>
  <si>
    <t>GMI Cloud</t>
  </si>
  <si>
    <t>$2.00 PCIe / $2.40 SXM; per-minute billing</t>
  </si>
  <si>
    <t>OVHcloud</t>
  </si>
  <si>
    <t>YES (Beauharnois, QC datacenter) — Canadian-residency option</t>
  </si>
  <si>
    <t>Vast.ai</t>
  </si>
  <si>
    <t>Marketplace</t>
  </si>
  <si>
    <t>Cheapest; multi-tenant hosts, variable reliability</t>
  </si>
  <si>
    <t>Thunder Compute</t>
  </si>
  <si>
    <t>Lowest on-demand H100 class</t>
  </si>
  <si>
    <t>Spheron</t>
  </si>
  <si>
    <t>Spot suits checkpointed batch jobs (fits 8h SLA)</t>
  </si>
  <si>
    <t>SR2-003 model assumption</t>
  </si>
  <si>
    <t>Reserved</t>
  </si>
  <si>
    <t>Mid-market reserved rate used in the TCO model — consistent with specialist tier</t>
  </si>
  <si>
    <t>Residency: a rented GPU keeps data in YOUR VM (better than an API) but is still third-party infra — satisfies 'data in Canada' if region-pinned (AWS/Azure/GCP/OVH CA), NOT a strict 'on-premises only' clause. Watch hyperscaler egress ($0.08–0.12/GB); most specialists waive it. Spot = 50–70% cheaper but interruptible.</t>
  </si>
  <si>
    <t>GPU sizing &amp; sustained throughput (AC #1)</t>
  </si>
  <si>
    <t>Docs/day/set = out tok/s × 3600 × SLA hrs × utilisation ÷ output tok/doc. Estimates only — load-test before capex.</t>
  </si>
  <si>
    <t>Model / GPU set</t>
  </si>
  <si>
    <t>GPUs</t>
  </si>
  <si>
    <t>Out tok/s</t>
  </si>
  <si>
    <t>Docs/hour/set</t>
  </si>
  <si>
    <t>Docs/day/set</t>
  </si>
  <si>
    <t>Util @ Pilot</t>
  </si>
  <si>
    <t>Util @ Production</t>
  </si>
  <si>
    <t>Util @ Scale</t>
  </si>
  <si>
    <t>Self-hosted Llama-3.1-8B — 1× L40S 48GB (fp16, vLLM)</t>
  </si>
  <si>
    <t>Cheapest self-host tier. Accuracy est. ~60–72% strict — likely below requirement; verify with accuracy_spotcheck/ before relying on it.</t>
  </si>
  <si>
    <t>GPU unit price ($)</t>
  </si>
  <si>
    <t>Watts/GPU</t>
  </si>
  <si>
    <t>Rental $/hr/GPU</t>
  </si>
  <si>
    <t>Docs/day capacity</t>
  </si>
  <si>
    <t>ANNUAL COST — ON-PREM (capex amortised) vs CLOUD-RENTED GPU (reserved 24×7)</t>
  </si>
  <si>
    <t>Line item</t>
  </si>
  <si>
    <t>On-prem $/yr</t>
  </si>
  <si>
    <t>Cloud-rented $/yr</t>
  </si>
  <si>
    <t>Formula basis</t>
  </si>
  <si>
    <t>GPU capex (amortised) / rental</t>
  </si>
  <si>
    <t>price×n÷amort | $/hr×n×8760</t>
  </si>
  <si>
    <t>Power (incl. PUE)</t>
  </si>
  <si>
    <t>W×n×PUE×8760×$/kWh÷1000 (rental includes power)</t>
  </si>
  <si>
    <t>Licensing</t>
  </si>
  <si>
    <t>TOTAL / yr</t>
  </si>
  <si>
    <t>COST PER DOC &amp; UTILISATION BY VOLUME SCENARIO (fixed cost ÷ volume)</t>
  </si>
  <si>
    <t>$/doc (on-prem)</t>
  </si>
  <si>
    <t>$/doc (rented)</t>
  </si>
  <si>
    <t>Capacity utilisation</t>
  </si>
  <si>
    <t>Pilot (100/day)</t>
  </si>
  <si>
    <t>Production (500/day)</t>
  </si>
  <si>
    <t>Scale (2,000/day)</t>
  </si>
  <si>
    <t>Self-hosted Mistral-Small-24B — 1× H100 80GB (vLLM)</t>
  </si>
  <si>
    <t>Mid-tier open model; Apache-2.0 licence, strong structured-output behaviour for its size.</t>
  </si>
  <si>
    <t>Self-hosted Llama-3.3-70B — 1× H100 (AWQ 4-bit) — recommended self-host config</t>
  </si>
  <si>
    <t>Est. ~82–90% strict on header fields (class-level estimate — verify with accuracy_spotcheck/). Alternative: 2× A100 80GB TP2 fp16 (see Assumptions row 38; ~$54.4k/yr on-prem incl. FTE). Qwen2.5-72B is a drop-in alternative.</t>
  </si>
  <si>
    <t>Cohere Command-A/R+ private deployment — 4× A100 80GB + vendor licence</t>
  </si>
  <si>
    <t>Vendor-supported (lower FTE share) but licence PLACEHOLDER $150k/yr dominates TCO — get a real quote. Justify only if vendor SLA/support is required.</t>
  </si>
  <si>
    <t>AWS Textract — Forms + Tables + Queries</t>
  </si>
  <si>
    <t>Pages/year</t>
  </si>
  <si>
    <t>Annual OCR cost</t>
  </si>
  <si>
    <t>Data egress: YES — pages leave the network. Breaks a strict residency mandate even if the LLM is self-hosted.</t>
  </si>
  <si>
    <t>Notes</t>
  </si>
  <si>
    <t>Best-in-class key-value/table extraction on forms; Queries API lets you ask for specific fields directly. Most expensive cloud OCR. Pricing tiers by feature (Detect vs Forms vs Tables vs Queries) — $0.065/pg models Forms+Tables class usage; verify against the AWS calculator for your feature mix.</t>
  </si>
  <si>
    <t>GCP Document AI — Form Parser / custom processors</t>
  </si>
  <si>
    <t>Strong middle option. Custom processors can be trained on Actlabs' own form layouts — best accuracy play if staying in cloud. Form Parser class pricing modelled at $0.030/pg; custom-processor pricing differs — check the GCP pricing page.</t>
  </si>
  <si>
    <t>Azure AI Document Intelligence — Layout / custom models</t>
  </si>
  <si>
    <t>Cheapest cloud OCR (~$0.010/pg Layout class) with a strong custom-model story (train on your labelled forms). Natural pairing with a cloud LLM if residency is handled contractually.</t>
  </si>
  <si>
    <t>Self-hosted OCR — required for a strict data-residency deployment</t>
  </si>
  <si>
    <t>If the driver for self-hosting is residency, OCR must also be self-hosted — cloud OCR egresses the raw document and defeats the purpose.</t>
  </si>
  <si>
    <t>Option</t>
  </si>
  <si>
    <t>Cost</t>
  </si>
  <si>
    <t>Data residency</t>
  </si>
  <si>
    <t>Tesseract</t>
  </si>
  <si>
    <t>$0 (CPU compute)</t>
  </si>
  <si>
    <t>On-prem</t>
  </si>
  <si>
    <t>Mature, free; weak on complex multi-column layout — acceptable baseline only.</t>
  </si>
  <si>
    <t>PaddleOCR / docTR / Surya</t>
  </si>
  <si>
    <t>$0 (GPU compute)</t>
  </si>
  <si>
    <t>Modern open-source stacks; good layout + table handling; GPU-accelerated. Marginal cost ≈ $0 when sharing the LLM GPU node (which is heavily under-utilised — see GPU_Sizing).</t>
  </si>
  <si>
    <t>VLM: Qwen2-VL / Llama-3.2-Vision</t>
  </si>
  <si>
    <t>GPU (shared node)</t>
  </si>
  <si>
    <t>Vision-language model does OCR AND field extraction in one pass — simplest residency architecture (page never leaves the box, one model to operate). Trade-off: harder to debug OCR errors separately; benchmark against Paddle/docTR + 70B pipeline on the gold set.</t>
  </si>
  <si>
    <t>Do you need an LLM with the OCR? — Pipeline architecture &amp; cost (open-model variant: Llama / Cohere)</t>
  </si>
  <si>
    <t>OCR converts pixels → text/layout (what characters, where). The LLM converts text → the 41 canonical JSON fields (what the characters MEAN). Evidence both are needed: the regex baseline had the same OCR text and scored 23.9% strict — its failures (layout / field-bleed) are exactly what an LLM fixes. NOTE: API-served Llama/Cohere still egresses data like any cloud LLM — open weights only give residency when self-hosted.</t>
  </si>
  <si>
    <t>INPUTS (blue = editable)</t>
  </si>
  <si>
    <t>LLM $/doc — Llama-3.3-70B serverless API (~$0.72/M, Bedrock class)</t>
  </si>
  <si>
    <t>7,500 tok/doc × $0.72/M = $0.0054 — verify current Bedrock/Together rates</t>
  </si>
  <si>
    <t>Docs/year (Production 500/day)</t>
  </si>
  <si>
    <t>LLM $/doc — Cohere Command A API (~$2.50/$10 per M)</t>
  </si>
  <si>
    <t>Cohere API is priced at full per-token rates (no batch-discount tier) — verify current rates</t>
  </si>
  <si>
    <t>Self-host VLM fixed cost/yr (70B-class node)</t>
  </si>
  <si>
    <t>OCR $/pg — Azure Layout / GCP Form / Textract F+T</t>
  </si>
  <si>
    <t>ARCHITECTURE OPTIONS — cost per doc &amp; annual (Production)</t>
  </si>
  <si>
    <t>Architecture</t>
  </si>
  <si>
    <t>Stages</t>
  </si>
  <si>
    <t>OCR $/doc</t>
  </si>
  <si>
    <t>LLM $/doc</t>
  </si>
  <si>
    <t>Total $/doc</t>
  </si>
  <si>
    <t>Accuracy (strict, est.)</t>
  </si>
  <si>
    <t>Annual</t>
  </si>
  <si>
    <t>Verdict / when to use</t>
  </si>
  <si>
    <t>A. OCR + LLM — RECOMMENDED cloud</t>
  </si>
  <si>
    <t>Azure DI Layout → Llama-3.3-70B (serverless API)</t>
  </si>
  <si>
    <t>Default open-model stack. Cheap layout-OCR + cheap serverless LLM; debuggable intermediate text; low lock-in — same model can move on-prem later. Verify accuracy on the gold set before locking in.</t>
  </si>
  <si>
    <t>A2. OCR + LLM (managed-vendor variant)</t>
  </si>
  <si>
    <t>GCP Doc AI Form Parser → Cohere Command A (API)</t>
  </si>
  <si>
    <t>If vendor support/SLA is preferred over open weights; ~same accuracy tier as Llama-70B at ~5× the LLM cost.</t>
  </si>
  <si>
    <t>B. OCR-only (no LLM)</t>
  </si>
  <si>
    <t>Textract Forms+Tables / GCP custom extractor</t>
  </si>
  <si>
    <t>Key-value extraction only — no schema JSON, normalisation, or structured sub-objects. Plateaus on hard fields; spot-check a GCP custom extractor on the gold set if testing this path.</t>
  </si>
  <si>
    <t>C. VLM-only (one model, no separate OCR)</t>
  </si>
  <si>
    <t>Qwen2-VL / Llama-3.2-Vision, self-hosted</t>
  </si>
  <si>
    <t>Simplest RESIDENCY architecture — page never leaves the box. Harder to debug OCR vs mapping errors. Cost = fixed node ÷ volume.</t>
  </si>
  <si>
    <t>D. Regex-only (SR2-002 baseline)</t>
  </si>
  <si>
    <t>OCR text → regex patterns</t>
  </si>
  <si>
    <t>MEASURED 23.9%. Keep as fallback/pre-filter only — breaks on every layout variant.</t>
  </si>
  <si>
    <t>RECOMMENDATION (row A) — full rationale</t>
  </si>
  <si>
    <t>1. OCR + LLM — Recommended</t>
  </si>
  <si>
    <t>Llama-3.3-70B via a serverless cloud API (AWS Bedrock / Together AI class, ~$0.72/M tok) at Production volume: ~$0.0054/doc → ~$700/yr LLM cost, fastest open-model path to stand up, zero GPU ops, expected accuracy ~82–90% strict est. vs 23.9% measured regex baseline — verify on the gold set before locking in. Pair with Azure Document Intelligence Layout or GCP Document AI custom processors for OCR. Caution: an API-served Llama still egresses data exactly like any cloud LLM — apply the same mitigations: ZDR / no-retention terms, region pinning (e.g. Bedrock ca-central-1 for Canada), DPA no-training terms, PII redaction, never transmit the PCI block. The open-weights advantage is low lock-in: the same model can later move on-prem unchanged if a residency mandate lands.</t>
  </si>
  <si>
    <t>DIVISION OF LABOUR — what each stage does</t>
  </si>
  <si>
    <t>Stage</t>
  </si>
  <si>
    <t>Answers</t>
  </si>
  <si>
    <t>Examples</t>
  </si>
  <si>
    <t>Cannot do</t>
  </si>
  <si>
    <t>OCR / layout (Azure DI, GCP, Paddle/docTR)</t>
  </si>
  <si>
    <t>What characters are on the page, and where?</t>
  </si>
  <si>
    <t>Text, tables, key-value regions, reading order on messy multi-column scans</t>
  </si>
  <si>
    <t>Doesn't know 'PO#' = 'Purchase Order', can't normalise units/dates, can't build the 41-field JSON</t>
  </si>
  <si>
    <t>LLM extraction (Llama-3.3-70B or Cohere Command A)</t>
  </si>
  <si>
    <t>What do the characters MEAN?</t>
  </si>
  <si>
    <t>Maps synonyms, resolves field-bleed, normalises values, emits schema-conformant JSON incl. reporting grid &amp; disposition matrix</t>
  </si>
  <si>
    <t>Can't read pixels (needs OCR text) — unless it's a VLM (option C)</t>
  </si>
  <si>
    <t>Bottom line: yes — pair OCR with an LLM. Recommended open-model stack (A) lands ~$0.035/doc all-in (~$4.6k/yr at Production) at the 70B accuracy tier (~82–90% est.); the Cohere-API variant (A2) costs ~$0.12/doc for the same tier. OCR-only (B) is the only no-LLM path worth testing but plateaus below the LLM on hard fields. VLM-only (C) is reserved for the data-residency mandate.</t>
  </si>
  <si>
    <t>Three-year TCO — annualised, all options (AC #2)</t>
  </si>
  <si>
    <t>Green = links to technology tabs. Self-host totals include an MLOps FTE share (25% open / 15% Cohere). Fixed-cost dominated — barely moves with volume.</t>
  </si>
  <si>
    <t>Annual @ Pilot</t>
  </si>
  <si>
    <t>Annual @ Production</t>
  </si>
  <si>
    <t>Annual @ Scale</t>
  </si>
  <si>
    <t>× cheapest</t>
  </si>
  <si>
    <t>Basis</t>
  </si>
  <si>
    <t>Self-host Llama-3.1-8B (on-prem, 1× L40S)</t>
  </si>
  <si>
    <t>fixed</t>
  </si>
  <si>
    <t>Self-host Mistral-Small-24B (on-prem, 1× H100)</t>
  </si>
  <si>
    <t>Self-host Llama-3.3-70B (on-prem, 1× H100 AWQ)</t>
  </si>
  <si>
    <t>Cloud-rented H100 (Llama-70B, reserved 24×7)</t>
  </si>
  <si>
    <t>Cohere Command-A/R+ private (on-prem, 4× A100)</t>
  </si>
  <si>
    <t>fixed; licence placeholder</t>
  </si>
  <si>
    <t>Cloud OCR add-on if outsourced (breaks residency)</t>
  </si>
  <si>
    <t>AWS Textract</t>
  </si>
  <si>
    <t>GCP Document AI</t>
  </si>
  <si>
    <t>Azure Doc Intelligence</t>
  </si>
  <si>
    <t>Extraction accuracy — self-hosted vs cloud, on the SR2-002 gold set (AC #3)</t>
  </si>
  <si>
    <t>Metric: 14 fields / 167 instances over the 19-doc gold set, same OCR text as the regex baseline. YELLOW cells = class-level ESTIMATES — run accuracy_spotcheck/ on lab hardware and replace with measured numbers.</t>
  </si>
  <si>
    <t>Pipeline</t>
  </si>
  <si>
    <t>Strict (est.)</t>
  </si>
  <si>
    <t>Weighted (est.)</t>
  </si>
  <si>
    <t>Strict (measured)</t>
  </si>
  <si>
    <t>Weighted (measured)</t>
  </si>
  <si>
    <t>Status / notes</t>
  </si>
  <si>
    <t>Regex baseline (SR2-002, current code)</t>
  </si>
  <si>
    <t>n/a</t>
  </si>
  <si>
    <t>MEASURED — failures almost entirely layout / field-bleed</t>
  </si>
  <si>
    <t>Self-host 8B (Llama-3.1 / Mistral)</t>
  </si>
  <si>
    <t>Estimate — run harness (range 60–72% / 70–80%)</t>
  </si>
  <si>
    <t>Self-host 70B (Llama-3.3 / Qwen2.5-72B)</t>
  </si>
  <si>
    <t>Estimate — run harness (range 82–90% / 88–94%)</t>
  </si>
  <si>
    <t>Cohere Command-A/R+ (private)</t>
  </si>
  <si>
    <t>Conclusion: a self-hosted 70B is expected to land in the ~82–90% strict band on header fields — accuracy does NOT decide self-host-vs-cloud; cost, residency and ops burden do. Structured Rev2.0 fields (reporting grid, disposition matrix, sign-off) will separate the tiers more — extend the scorer's field list to measure them explicitly.</t>
  </si>
  <si>
    <t>Data-residency &amp; compliance — the one place self-hosting wins decisively (AC #4)</t>
  </si>
  <si>
    <t>Forms carry client PII (names/emails/phones/addresses), commercial terms (quotes/PO/pricing), and PCI card data (dropped by policy — never persist).</t>
  </si>
  <si>
    <t>Benefit</t>
  </si>
  <si>
    <t>Self-hosted (on-prem / VPC)</t>
  </si>
  <si>
    <t>Cloud LLM API</t>
  </si>
  <si>
    <t>Data leaves premises</t>
  </si>
  <si>
    <t>No — stays in Actlabs network</t>
  </si>
  <si>
    <t>Yes — sent to provider</t>
  </si>
  <si>
    <t>Data residency (Canada / Ontario)</t>
  </si>
  <si>
    <t>Fully controlled</t>
  </si>
  <si>
    <t>Depends on provider region / DPA</t>
  </si>
  <si>
    <t>Training on your data</t>
  </si>
  <si>
    <t>Impossible (your weights, your infra)</t>
  </si>
  <si>
    <t>Contractually excluded — requires trust in Data Processing Agreement (DPA)</t>
  </si>
  <si>
    <t>PII / PC(Payment Card)I blast radius</t>
  </si>
  <si>
    <t>Contained to owned infra</t>
  </si>
  <si>
    <t>Extends to provider + subprocessors</t>
  </si>
  <si>
    <t>Audit / certification scope</t>
  </si>
  <si>
    <t>You control the boundary</t>
  </si>
  <si>
    <t>Rely on provider SOC2/ISO + Data Processing Agreement</t>
  </si>
  <si>
    <t>Client contractual 'no-cloud' clauses</t>
  </si>
  <si>
    <t>Satisfiable</t>
  </si>
  <si>
    <t>Not satisfiable</t>
  </si>
  <si>
    <t>CLOUD-SIDE MITIGATIONS THAT NARROW THE GAP (cheaper than self-hosting)</t>
  </si>
  <si>
    <t>• Zero-Data-Retention (ZDR) — prompts not stored by the provider</t>
  </si>
  <si>
    <t>• Region-pinned / data-residency deployment</t>
  </si>
  <si>
    <t>• Signed DPA with explicit no-training terms</t>
  </si>
  <si>
    <t>• PII redaction / tokenisation before send</t>
  </si>
  <si>
    <t>• Never transmit the PCI block (already policy)</t>
  </si>
  <si>
    <t>Egress warning: if cloud OCR is used 'just for OCR', data still egresses — a partial self-host does not satisfy a strict no-cloud mandate. Residency deployments must pair a self-hosted LLM with self-hosted OCR (PaddleOCR/docTR/Surya) or a VLM (Qwen2-VL / Llama-3.2-Vision).</t>
  </si>
  <si>
    <t>Weighted decision matrix (scores 1–5, 5 = best; blue = judgement inputs — adjust to your priorities)</t>
  </si>
  <si>
    <t>Criterion</t>
  </si>
  <si>
    <t>Weight</t>
  </si>
  <si>
    <t>Python regex only (SR2-002)</t>
  </si>
  <si>
    <t>Self-host 8B on-prem</t>
  </si>
  <si>
    <t>Self-host 70B on-prem</t>
  </si>
  <si>
    <t>Cohere private</t>
  </si>
  <si>
    <t>Accuracy (gold set)</t>
  </si>
  <si>
    <t>$/doc</t>
  </si>
  <si>
    <t>Annual TCO</t>
  </si>
  <si>
    <t>Latency / SLA fit</t>
  </si>
  <si>
    <t>Data residency / compliance</t>
  </si>
  <si>
    <t>Maintenance burden</t>
  </si>
  <si>
    <t>Build effort (time-to-prod)</t>
  </si>
  <si>
    <t>Weight check</t>
  </si>
  <si>
    <t>WEIGHTED SCORE</t>
  </si>
  <si>
    <t>Rank</t>
  </si>
  <si>
    <t>Recommendation — Cloud API vs on-prem vs Python-only</t>
  </si>
  <si>
    <t>1. OCR+ LLM Recommeded</t>
  </si>
  <si>
    <t>Llama-3.3-70B served via a serverless cloud API (AWS Bedrock / Together AI class, ~$0.72/M tok) at Production volume — ~$0.0054/doc → ~$700/yr LLM cost, fastest open-model path to stand up, zero GPU ops, expected accuracy ~82–90% strict est. vs 23.9% measured regex baseline — verify on the gold set. Pair with Azure Document Intelligence Layout or GCP Document AI custom processors for OCR. Caution: an API-served Llama still egresses data exactly like any cloud LLM — apply the same mitigations: ZDR/no-retention terms, region pinning (e.g. Bedrock ca-central-1), DPA no-training terms, PII redaction, never transmit the PCI block. The open-weights advantage is low lock-in: the same model can later move on-prem unchanged if a residency mandate lands.</t>
  </si>
  <si>
    <t>2. IF residency mandated: self-host 70B</t>
  </si>
  <si>
    <t>Only if a client contract or regulator requires lab data to stay on Actlabs infrastructure. Deploy Llama-3.3-70B (or Qwen2.5-72B) on a single H100 (AWQ 4-bit) PLUS self-hosted OCR (PaddleOCR/docTR/Surya) or a VLM (Qwen2-VL / Llama-3.2-Vision) so no page ever leaves the network. ~$50k/yr, near-cloud accuracy expected, full residency. Prefer Cohere private only if vendor support/SLA is required AND the negotiated licence justifies ~$200k/yr.</t>
  </si>
  <si>
    <t>3. NOT recommended: Python/regex only</t>
  </si>
  <si>
    <t>Keep as fallback/pre-filter only. Measured 23.9% strict / 31.7% weighted — failures are structural (layout / field-bleed), and regex maintenance grows with every form variant. It scores last on the Scoring_Matrix despite being free.</t>
  </si>
  <si>
    <t>Before committing (either path)</t>
  </si>
  <si>
    <t>(a) Get the real intake volume and update Assumptions!B5:B7 — the whole model recalculates. (b) Run accuracy_spotcheck/ on candidate models and paste measured numbers into Accuracy_SpotCheck columns D:E. (c) Get a real Cohere quote to replace the $150k placeholder (Assumptions!B42). (d) Load-test vLLM throughput before any GPU purchase (±40% risk).</t>
  </si>
  <si>
    <t>Pricing references &amp; sources</t>
  </si>
  <si>
    <t>Item</t>
  </si>
  <si>
    <t>Value used</t>
  </si>
  <si>
    <t>Source / where to verify</t>
  </si>
  <si>
    <t>AWS Textract ~$0.065/pg (Forms+Tables class)</t>
  </si>
  <si>
    <t>Assumptions!B46</t>
  </si>
  <si>
    <t>https://aws.amazon.com/textract/pricing/ — tiered by feature; use AWS calculator for your mix</t>
  </si>
  <si>
    <t>GCP Document AI ~$0.030/pg (Form Parser class)</t>
  </si>
  <si>
    <t>Assumptions!B47</t>
  </si>
  <si>
    <t>https://cloud.google.com/document-ai/pricing — custom processors priced differently</t>
  </si>
  <si>
    <t>Azure AI Document Intelligence ~$0.010/pg (Layout class)</t>
  </si>
  <si>
    <t>Assumptions!B48</t>
  </si>
  <si>
    <t>https://azure.microsoft.com/pricing/details/ai-document-intelligence/</t>
  </si>
  <si>
    <t>GPU street prices: L40S $12k / H100 $32k / A100-80GB $20k</t>
  </si>
  <si>
    <t>Assumptions!B29:B31</t>
  </si>
  <si>
    <t>Mid-2026 street-price class figures — replace with vendor quotes</t>
  </si>
  <si>
    <t>GPU reserved rental: L40S $1.80 / H100 $2.75 / A100 $2.20 per hr</t>
  </si>
  <si>
    <t>Assumptions!D29:D31</t>
  </si>
  <si>
    <t>Reserved cloud-GPU class rates (CoreWeave/Lambda/AWS class) — verify per provider</t>
  </si>
  <si>
    <t>Cohere private-deployment licence $150k/yr</t>
  </si>
  <si>
    <t>Assumptions!B42</t>
  </si>
  <si>
    <t>PLACEHOLDER — negotiated per contract, not public; contact Cohere sales</t>
  </si>
  <si>
    <t>MLOps FTE $160k loaded; 25% (open) / 15% (Cohere)</t>
  </si>
  <si>
    <t>Assumptions!B55:B57</t>
  </si>
  <si>
    <t>Power $0.10/kWh, PUE 1.5, 3-yr amortisation</t>
  </si>
  <si>
    <t>Assumptions!B21:B23</t>
  </si>
  <si>
    <t>Internal facilities assumption</t>
  </si>
  <si>
    <t>vLLM throughput estimates (900–3,000 out tok/s)</t>
  </si>
  <si>
    <t>Assumptions!D35:D39</t>
  </si>
  <si>
    <t>Order-of-magnitude batched-serving estimates — confirm with load test (±40%)</t>
  </si>
  <si>
    <t>Regex baseline 23.9% strict / 31.7% weighted</t>
  </si>
  <si>
    <t>Assumptions!B51:B52</t>
  </si>
  <si>
    <t>MEASURED — SR2-002 scorecard, 19-doc gold set, 14 fields / 167 instances</t>
  </si>
  <si>
    <t>Open-model licences</t>
  </si>
  <si>
    <t>Llama 3.x: Meta community licence · Mistral-Small-24B: Apache-2.0 · Qwen2.5: Apache-2.0 (check 72B variant terms)</t>
  </si>
  <si>
    <t>All blue cells are inputs — edit them on the Assumptions tab and every other tab recalculates. The single biggest unknown is intake volume: the model carries three scenarios (Pilot 100/day, Production 500/day, Scale 2,000/day). Replace them with real numbers when known.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</si>
</sst>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%"/>
    <numFmt numFmtId="165" formatCode="\$#,##0.00"/>
    <numFmt numFmtId="166" formatCode="0.0"/>
    <numFmt numFmtId="167" formatCode="\$#,##0;&quot;($&quot;#,##0\);\-"/>
    <numFmt numFmtId="168" formatCode="\$0.000"/>
    <numFmt numFmtId="169" formatCode="\$0.00"/>
    <numFmt numFmtId="170" formatCode="\$#,##0"/>
    <numFmt numFmtId="171" formatCode="\$0.0000"/>
    <numFmt numFmtId="172" formatCode="0\×"/>
  </numFmts>
  <fonts count="19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b/>
      <i/>
      <sz val="9"/>
      <color theme="1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3"/>
      <color rgb="FF1F3864"/>
      <name val="Arial"/>
      <family val="2"/>
      <charset val="1"/>
    </font>
    <font>
      <b/>
      <sz val="10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name val="Arial"/>
      <family val="2"/>
      <charset val="1"/>
    </font>
    <font>
      <sz val="10"/>
      <color rgb="FF008000"/>
      <name val="Arial"/>
      <charset val="1"/>
    </font>
    <font>
      <b/>
      <sz val="11"/>
      <color rgb="FF9C0006"/>
      <name val="Arial"/>
      <charset val="1"/>
    </font>
    <font>
      <sz val="10"/>
      <color rgb="FF000000"/>
      <name val="Arial"/>
      <family val="2"/>
      <charset val="1"/>
    </font>
    <font>
      <b/>
      <sz val="11"/>
      <color rgb="FF006100"/>
      <name val="Calibri"/>
      <family val="2"/>
      <charset val="1"/>
    </font>
    <font>
      <sz val="11"/>
      <color rgb="FF0061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D9E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2F2"/>
      </patternFill>
    </fill>
    <fill>
      <patternFill patternType="solid">
        <fgColor rgb="FFFCE4E4"/>
        <b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8" fillId="2" borderId="0"/>
  </cellStyleXfs>
  <cellXfs count="89">
    <xf numFmtId="0" fontId="0" fillId="0" borderId="0" xfId="0"/>
    <xf numFmtId="0" fontId="2" fillId="0" borderId="2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5" fillId="7" borderId="1" xfId="0" applyFont="1" applyFill="1" applyBorder="1" applyAlignment="1">
      <alignment vertical="top" wrapText="1"/>
    </xf>
    <xf numFmtId="0" fontId="14" fillId="0" borderId="1" xfId="0" applyFont="1" applyBorder="1"/>
    <xf numFmtId="0" fontId="2" fillId="0" borderId="1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0" xfId="0" applyFont="1" applyFill="1"/>
    <xf numFmtId="0" fontId="0" fillId="3" borderId="0" xfId="0" applyFill="1"/>
    <xf numFmtId="0" fontId="3" fillId="4" borderId="1" xfId="0" applyFont="1" applyFill="1" applyBorder="1" applyAlignment="1">
      <alignment vertical="center" wrapText="1"/>
    </xf>
    <xf numFmtId="0" fontId="4" fillId="0" borderId="1" xfId="0" applyFont="1" applyBorder="1"/>
    <xf numFmtId="3" fontId="6" fillId="5" borderId="1" xfId="0" applyNumberFormat="1" applyFont="1" applyFill="1" applyBorder="1"/>
    <xf numFmtId="3" fontId="4" fillId="0" borderId="1" xfId="0" applyNumberFormat="1" applyFont="1" applyBorder="1"/>
    <xf numFmtId="0" fontId="2" fillId="0" borderId="1" xfId="0" applyFont="1" applyBorder="1" applyAlignment="1">
      <alignment vertical="top" wrapText="1"/>
    </xf>
    <xf numFmtId="3" fontId="6" fillId="0" borderId="1" xfId="0" applyNumberFormat="1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166" fontId="6" fillId="0" borderId="1" xfId="0" applyNumberFormat="1" applyFont="1" applyBorder="1"/>
    <xf numFmtId="0" fontId="7" fillId="0" borderId="0" xfId="0" applyFont="1"/>
    <xf numFmtId="167" fontId="6" fillId="0" borderId="1" xfId="0" applyNumberFormat="1" applyFont="1" applyBorder="1"/>
    <xf numFmtId="167" fontId="6" fillId="5" borderId="1" xfId="0" applyNumberFormat="1" applyFont="1" applyFill="1" applyBorder="1"/>
    <xf numFmtId="0" fontId="8" fillId="0" borderId="1" xfId="0" applyFont="1" applyBorder="1" applyAlignment="1">
      <alignment vertical="top" wrapText="1"/>
    </xf>
    <xf numFmtId="168" fontId="6" fillId="0" borderId="1" xfId="0" applyNumberFormat="1" applyFont="1" applyBorder="1"/>
    <xf numFmtId="0" fontId="2" fillId="5" borderId="1" xfId="0" applyFont="1" applyFill="1" applyBorder="1" applyAlignment="1">
      <alignment vertical="top" wrapText="1"/>
    </xf>
    <xf numFmtId="0" fontId="9" fillId="0" borderId="0" xfId="0" applyFont="1"/>
    <xf numFmtId="0" fontId="8" fillId="0" borderId="0" xfId="0" applyFont="1"/>
    <xf numFmtId="0" fontId="10" fillId="4" borderId="1" xfId="0" applyFont="1" applyFill="1" applyBorder="1"/>
    <xf numFmtId="3" fontId="11" fillId="0" borderId="1" xfId="0" applyNumberFormat="1" applyFont="1" applyBorder="1"/>
    <xf numFmtId="0" fontId="12" fillId="3" borderId="1" xfId="0" applyFont="1" applyFill="1" applyBorder="1" applyAlignment="1">
      <alignment vertical="center" wrapText="1"/>
    </xf>
    <xf numFmtId="0" fontId="10" fillId="0" borderId="1" xfId="0" applyFont="1" applyBorder="1"/>
    <xf numFmtId="0" fontId="13" fillId="0" borderId="1" xfId="0" applyFont="1" applyBorder="1"/>
    <xf numFmtId="169" fontId="11" fillId="0" borderId="1" xfId="0" applyNumberFormat="1" applyFont="1" applyBorder="1"/>
    <xf numFmtId="169" fontId="13" fillId="0" borderId="1" xfId="0" applyNumberFormat="1" applyFont="1" applyBorder="1"/>
    <xf numFmtId="170" fontId="13" fillId="0" borderId="1" xfId="0" applyNumberFormat="1" applyFont="1" applyBorder="1"/>
    <xf numFmtId="0" fontId="10" fillId="5" borderId="1" xfId="0" applyFont="1" applyFill="1" applyBorder="1"/>
    <xf numFmtId="0" fontId="13" fillId="5" borderId="1" xfId="0" applyFont="1" applyFill="1" applyBorder="1"/>
    <xf numFmtId="169" fontId="11" fillId="5" borderId="1" xfId="0" applyNumberFormat="1" applyFont="1" applyFill="1" applyBorder="1"/>
    <xf numFmtId="170" fontId="13" fillId="6" borderId="1" xfId="0" applyNumberFormat="1" applyFont="1" applyFill="1" applyBorder="1"/>
    <xf numFmtId="0" fontId="14" fillId="0" borderId="1" xfId="0" applyFont="1" applyBorder="1"/>
    <xf numFmtId="3" fontId="14" fillId="0" borderId="1" xfId="0" applyNumberFormat="1" applyFont="1" applyBorder="1"/>
    <xf numFmtId="164" fontId="4" fillId="0" borderId="1" xfId="0" applyNumberFormat="1" applyFont="1" applyBorder="1"/>
    <xf numFmtId="0" fontId="3" fillId="4" borderId="1" xfId="0" applyFont="1" applyFill="1" applyBorder="1"/>
    <xf numFmtId="167" fontId="14" fillId="0" borderId="1" xfId="0" applyNumberFormat="1" applyFont="1" applyBorder="1"/>
    <xf numFmtId="165" fontId="14" fillId="0" borderId="1" xfId="0" applyNumberFormat="1" applyFont="1" applyBorder="1"/>
    <xf numFmtId="167" fontId="4" fillId="0" borderId="1" xfId="0" applyNumberFormat="1" applyFont="1" applyBorder="1"/>
    <xf numFmtId="0" fontId="2" fillId="0" borderId="1" xfId="0" applyFont="1" applyBorder="1"/>
    <xf numFmtId="167" fontId="3" fillId="4" borderId="1" xfId="0" applyNumberFormat="1" applyFont="1" applyFill="1" applyBorder="1"/>
    <xf numFmtId="171" fontId="4" fillId="0" borderId="1" xfId="0" applyNumberFormat="1" applyFont="1" applyBorder="1"/>
    <xf numFmtId="167" fontId="14" fillId="5" borderId="1" xfId="0" applyNumberFormat="1" applyFont="1" applyFill="1" applyBorder="1"/>
    <xf numFmtId="168" fontId="14" fillId="0" borderId="1" xfId="0" applyNumberFormat="1" applyFont="1" applyBorder="1"/>
    <xf numFmtId="0" fontId="3" fillId="0" borderId="1" xfId="0" applyFont="1" applyBorder="1"/>
    <xf numFmtId="0" fontId="12" fillId="3" borderId="0" xfId="0" applyFont="1" applyFill="1"/>
    <xf numFmtId="1" fontId="11" fillId="0" borderId="1" xfId="0" applyNumberFormat="1" applyFont="1" applyBorder="1"/>
    <xf numFmtId="171" fontId="11" fillId="0" borderId="1" xfId="0" applyNumberFormat="1" applyFont="1" applyBorder="1"/>
    <xf numFmtId="3" fontId="11" fillId="5" borderId="1" xfId="0" applyNumberFormat="1" applyFont="1" applyFill="1" applyBorder="1"/>
    <xf numFmtId="171" fontId="11" fillId="5" borderId="1" xfId="0" applyNumberFormat="1" applyFont="1" applyFill="1" applyBorder="1"/>
    <xf numFmtId="170" fontId="11" fillId="0" borderId="1" xfId="0" applyNumberFormat="1" applyFont="1" applyBorder="1"/>
    <xf numFmtId="168" fontId="11" fillId="0" borderId="1" xfId="0" applyNumberFormat="1" applyFont="1" applyBorder="1"/>
    <xf numFmtId="0" fontId="10" fillId="6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171" fontId="13" fillId="0" borderId="1" xfId="0" applyNumberFormat="1" applyFont="1" applyBorder="1"/>
    <xf numFmtId="171" fontId="10" fillId="6" borderId="1" xfId="0" applyNumberFormat="1" applyFont="1" applyFill="1" applyBorder="1"/>
    <xf numFmtId="9" fontId="11" fillId="0" borderId="1" xfId="0" applyNumberFormat="1" applyFont="1" applyBorder="1"/>
    <xf numFmtId="0" fontId="10" fillId="0" borderId="1" xfId="0" applyFont="1" applyBorder="1" applyAlignment="1">
      <alignment vertical="top" wrapText="1"/>
    </xf>
    <xf numFmtId="171" fontId="10" fillId="0" borderId="1" xfId="0" applyNumberFormat="1" applyFont="1" applyBorder="1"/>
    <xf numFmtId="0" fontId="10" fillId="7" borderId="1" xfId="0" applyFont="1" applyFill="1" applyBorder="1" applyAlignment="1">
      <alignment vertical="top" wrapText="1"/>
    </xf>
    <xf numFmtId="171" fontId="10" fillId="7" borderId="1" xfId="0" applyNumberFormat="1" applyFont="1" applyFill="1" applyBorder="1"/>
    <xf numFmtId="170" fontId="13" fillId="7" borderId="1" xfId="0" applyNumberFormat="1" applyFont="1" applyFill="1" applyBorder="1"/>
    <xf numFmtId="164" fontId="11" fillId="0" borderId="1" xfId="0" applyNumberFormat="1" applyFont="1" applyBorder="1"/>
    <xf numFmtId="0" fontId="10" fillId="0" borderId="0" xfId="0" applyFont="1"/>
    <xf numFmtId="172" fontId="4" fillId="0" borderId="1" xfId="0" applyNumberFormat="1" applyFont="1" applyBorder="1"/>
    <xf numFmtId="164" fontId="14" fillId="0" borderId="1" xfId="0" applyNumberFormat="1" applyFont="1" applyBorder="1"/>
    <xf numFmtId="164" fontId="6" fillId="5" borderId="1" xfId="0" applyNumberFormat="1" applyFont="1" applyFill="1" applyBorder="1"/>
    <xf numFmtId="164" fontId="4" fillId="5" borderId="1" xfId="0" applyNumberFormat="1" applyFont="1" applyFill="1" applyBorder="1"/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16" fillId="7" borderId="1" xfId="0" applyFont="1" applyFill="1" applyBorder="1" applyAlignment="1">
      <alignment vertical="top" wrapText="1"/>
    </xf>
    <xf numFmtId="1" fontId="6" fillId="0" borderId="1" xfId="0" applyNumberFormat="1" applyFont="1" applyBorder="1"/>
    <xf numFmtId="0" fontId="4" fillId="4" borderId="1" xfId="0" applyFont="1" applyFill="1" applyBorder="1"/>
    <xf numFmtId="2" fontId="3" fillId="4" borderId="1" xfId="0" applyNumberFormat="1" applyFont="1" applyFill="1" applyBorder="1"/>
    <xf numFmtId="1" fontId="4" fillId="0" borderId="1" xfId="0" applyNumberFormat="1" applyFont="1" applyBorder="1"/>
    <xf numFmtId="0" fontId="16" fillId="0" borderId="1" xfId="0" applyFont="1" applyBorder="1" applyAlignment="1">
      <alignment vertical="top" wrapText="1"/>
    </xf>
    <xf numFmtId="0" fontId="17" fillId="2" borderId="1" xfId="1" applyFont="1" applyBorder="1" applyAlignment="1">
      <alignment vertical="top" wrapText="1"/>
    </xf>
  </cellXfs>
  <cellStyles count="2">
    <cellStyle name="Excel Built-in Good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2EFDA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61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Normal="100" workbookViewId="0">
      <selection activeCell="B7" sqref="B7"/>
    </sheetView>
  </sheetViews>
  <sheetFormatPr defaultColWidth="8.6640625" defaultRowHeight="14.4" x14ac:dyDescent="0.3"/>
  <cols>
    <col min="1" max="1" width="30" customWidth="1"/>
    <col min="2" max="2" width="100" customWidth="1"/>
  </cols>
  <sheetData>
    <row r="1" spans="1:2" ht="17.25" customHeight="1" x14ac:dyDescent="0.3">
      <c r="A1" s="9" t="s">
        <v>0</v>
      </c>
    </row>
    <row r="2" spans="1:2" x14ac:dyDescent="0.3">
      <c r="A2" s="10" t="s">
        <v>1</v>
      </c>
    </row>
    <row r="4" spans="1:2" ht="45.75" customHeight="1" x14ac:dyDescent="0.3">
      <c r="A4" s="11" t="s">
        <v>2</v>
      </c>
      <c r="B4" s="12" t="s">
        <v>360</v>
      </c>
    </row>
    <row r="5" spans="1:2" ht="45.75" customHeight="1" x14ac:dyDescent="0.3">
      <c r="A5" s="11" t="s">
        <v>3</v>
      </c>
      <c r="B5" s="12" t="s">
        <v>4</v>
      </c>
    </row>
    <row r="6" spans="1:2" ht="70.2" customHeight="1" x14ac:dyDescent="0.3">
      <c r="A6" s="11" t="s">
        <v>5</v>
      </c>
      <c r="B6" s="12" t="s">
        <v>6</v>
      </c>
    </row>
    <row r="7" spans="1:2" ht="45.75" customHeight="1" x14ac:dyDescent="0.3">
      <c r="A7" s="11" t="s">
        <v>7</v>
      </c>
      <c r="B7" s="12" t="s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"/>
  <sheetViews>
    <sheetView topLeftCell="A31" zoomScaleNormal="100" workbookViewId="0">
      <selection activeCell="A54" sqref="A54:XFD57"/>
    </sheetView>
  </sheetViews>
  <sheetFormatPr defaultColWidth="8.6640625" defaultRowHeight="14.4" x14ac:dyDescent="0.3"/>
  <cols>
    <col min="1" max="1" width="42" customWidth="1"/>
    <col min="2" max="4" width="14" customWidth="1"/>
    <col min="5" max="5" width="40" customWidth="1"/>
  </cols>
  <sheetData>
    <row r="1" spans="1:5" ht="17.25" customHeight="1" x14ac:dyDescent="0.3">
      <c r="A1" s="9" t="s">
        <v>9</v>
      </c>
    </row>
    <row r="3" spans="1:5" x14ac:dyDescent="0.3">
      <c r="A3" s="13" t="s">
        <v>10</v>
      </c>
      <c r="B3" s="14"/>
      <c r="C3" s="14"/>
      <c r="D3" s="14"/>
      <c r="E3" s="14"/>
    </row>
    <row r="4" spans="1:5" x14ac:dyDescent="0.3">
      <c r="A4" s="15" t="s">
        <v>11</v>
      </c>
      <c r="B4" s="15" t="s">
        <v>12</v>
      </c>
      <c r="C4" s="15" t="s">
        <v>13</v>
      </c>
      <c r="D4" s="15"/>
      <c r="E4" s="15" t="s">
        <v>14</v>
      </c>
    </row>
    <row r="5" spans="1:5" ht="22.5" customHeight="1" x14ac:dyDescent="0.3">
      <c r="A5" s="16" t="s">
        <v>15</v>
      </c>
      <c r="B5" s="17">
        <v>100</v>
      </c>
      <c r="C5" s="18">
        <f>B5*$B$8</f>
        <v>26000</v>
      </c>
      <c r="E5" s="19" t="s">
        <v>16</v>
      </c>
    </row>
    <row r="6" spans="1:5" x14ac:dyDescent="0.3">
      <c r="A6" s="16" t="s">
        <v>17</v>
      </c>
      <c r="B6" s="17">
        <v>500</v>
      </c>
      <c r="C6" s="18">
        <f>B6*$B$8</f>
        <v>130000</v>
      </c>
    </row>
    <row r="7" spans="1:5" x14ac:dyDescent="0.3">
      <c r="A7" s="16" t="s">
        <v>18</v>
      </c>
      <c r="B7" s="17">
        <v>2000</v>
      </c>
      <c r="C7" s="18">
        <f>B7*$B$8</f>
        <v>520000</v>
      </c>
    </row>
    <row r="8" spans="1:5" x14ac:dyDescent="0.3">
      <c r="A8" s="16" t="s">
        <v>19</v>
      </c>
      <c r="B8" s="20">
        <v>260</v>
      </c>
    </row>
    <row r="10" spans="1:5" x14ac:dyDescent="0.3">
      <c r="A10" s="13" t="s">
        <v>20</v>
      </c>
      <c r="B10" s="14"/>
      <c r="C10" s="14"/>
      <c r="D10" s="14"/>
      <c r="E10" s="14"/>
    </row>
    <row r="11" spans="1:5" x14ac:dyDescent="0.3">
      <c r="A11" s="16" t="s">
        <v>21</v>
      </c>
      <c r="B11" s="20">
        <v>3000</v>
      </c>
      <c r="E11" s="19" t="s">
        <v>22</v>
      </c>
    </row>
    <row r="12" spans="1:5" ht="22.5" customHeight="1" x14ac:dyDescent="0.3">
      <c r="A12" s="16" t="s">
        <v>23</v>
      </c>
      <c r="B12" s="20">
        <v>3000</v>
      </c>
      <c r="E12" s="19" t="s">
        <v>24</v>
      </c>
    </row>
    <row r="13" spans="1:5" x14ac:dyDescent="0.3">
      <c r="A13" s="16" t="s">
        <v>25</v>
      </c>
      <c r="B13" s="20">
        <v>1500</v>
      </c>
      <c r="E13" s="19" t="s">
        <v>26</v>
      </c>
    </row>
    <row r="14" spans="1:5" x14ac:dyDescent="0.3">
      <c r="A14" s="16" t="s">
        <v>27</v>
      </c>
      <c r="B14" s="20">
        <v>3</v>
      </c>
      <c r="E14" s="19" t="s">
        <v>28</v>
      </c>
    </row>
    <row r="16" spans="1:5" x14ac:dyDescent="0.3">
      <c r="A16" s="13" t="s">
        <v>29</v>
      </c>
      <c r="B16" s="14"/>
      <c r="C16" s="14"/>
      <c r="D16" s="14"/>
      <c r="E16" s="14"/>
    </row>
    <row r="17" spans="1:5" x14ac:dyDescent="0.3">
      <c r="A17" s="16" t="s">
        <v>30</v>
      </c>
      <c r="B17" s="20">
        <v>8</v>
      </c>
    </row>
    <row r="18" spans="1:5" x14ac:dyDescent="0.3">
      <c r="A18" s="16" t="s">
        <v>31</v>
      </c>
      <c r="B18" s="21">
        <v>0.6</v>
      </c>
    </row>
    <row r="20" spans="1:5" x14ac:dyDescent="0.3">
      <c r="A20" s="13" t="s">
        <v>32</v>
      </c>
      <c r="B20" s="14"/>
      <c r="C20" s="14"/>
      <c r="D20" s="14"/>
      <c r="E20" s="14"/>
    </row>
    <row r="21" spans="1:5" x14ac:dyDescent="0.3">
      <c r="A21" s="16" t="s">
        <v>33</v>
      </c>
      <c r="B21" s="20">
        <v>3</v>
      </c>
    </row>
    <row r="22" spans="1:5" x14ac:dyDescent="0.3">
      <c r="A22" s="16" t="s">
        <v>34</v>
      </c>
      <c r="B22" s="22">
        <v>0.1</v>
      </c>
    </row>
    <row r="23" spans="1:5" x14ac:dyDescent="0.3">
      <c r="A23" s="16" t="s">
        <v>35</v>
      </c>
      <c r="B23" s="23">
        <v>1.5</v>
      </c>
      <c r="E23" s="24" t="s">
        <v>36</v>
      </c>
    </row>
    <row r="24" spans="1:5" x14ac:dyDescent="0.3">
      <c r="A24" s="16" t="s">
        <v>37</v>
      </c>
      <c r="B24" s="20">
        <v>8760</v>
      </c>
    </row>
    <row r="27" spans="1:5" x14ac:dyDescent="0.3">
      <c r="A27" s="13" t="s">
        <v>38</v>
      </c>
      <c r="B27" s="14"/>
      <c r="C27" s="14"/>
      <c r="D27" s="14"/>
      <c r="E27" s="14"/>
    </row>
    <row r="28" spans="1:5" ht="26.25" customHeight="1" x14ac:dyDescent="0.3">
      <c r="A28" s="15" t="s">
        <v>39</v>
      </c>
      <c r="B28" s="15" t="s">
        <v>40</v>
      </c>
      <c r="C28" s="15" t="s">
        <v>41</v>
      </c>
      <c r="D28" s="15" t="s">
        <v>42</v>
      </c>
      <c r="E28" s="15" t="s">
        <v>14</v>
      </c>
    </row>
    <row r="29" spans="1:5" ht="22.5" customHeight="1" x14ac:dyDescent="0.3">
      <c r="A29" s="16" t="s">
        <v>43</v>
      </c>
      <c r="B29" s="25">
        <v>12000</v>
      </c>
      <c r="C29" s="20">
        <v>350</v>
      </c>
      <c r="D29" s="22">
        <v>1.8</v>
      </c>
      <c r="E29" s="19" t="s">
        <v>44</v>
      </c>
    </row>
    <row r="30" spans="1:5" x14ac:dyDescent="0.3">
      <c r="A30" s="16" t="s">
        <v>45</v>
      </c>
      <c r="B30" s="25">
        <v>32000</v>
      </c>
      <c r="C30" s="20">
        <v>700</v>
      </c>
      <c r="D30" s="22">
        <v>2.75</v>
      </c>
    </row>
    <row r="31" spans="1:5" x14ac:dyDescent="0.3">
      <c r="A31" s="16" t="s">
        <v>46</v>
      </c>
      <c r="B31" s="25">
        <v>20000</v>
      </c>
      <c r="C31" s="20">
        <v>400</v>
      </c>
      <c r="D31" s="22">
        <v>2.2000000000000002</v>
      </c>
    </row>
    <row r="33" spans="1:6" x14ac:dyDescent="0.3">
      <c r="A33" s="13" t="s">
        <v>47</v>
      </c>
      <c r="B33" s="14"/>
      <c r="C33" s="14"/>
      <c r="D33" s="14"/>
      <c r="E33" s="14"/>
    </row>
    <row r="34" spans="1:6" ht="26.25" customHeight="1" x14ac:dyDescent="0.3">
      <c r="A34" s="15" t="s">
        <v>48</v>
      </c>
      <c r="B34" s="15" t="s">
        <v>49</v>
      </c>
      <c r="C34" s="15" t="s">
        <v>50</v>
      </c>
      <c r="D34" s="15" t="s">
        <v>51</v>
      </c>
      <c r="E34" s="15" t="s">
        <v>14</v>
      </c>
    </row>
    <row r="35" spans="1:6" ht="33.75" customHeight="1" x14ac:dyDescent="0.3">
      <c r="A35" s="16" t="s">
        <v>52</v>
      </c>
      <c r="B35" s="20">
        <v>29</v>
      </c>
      <c r="C35" s="20">
        <v>1</v>
      </c>
      <c r="D35" s="20">
        <v>3000</v>
      </c>
      <c r="E35" s="19" t="s">
        <v>53</v>
      </c>
    </row>
    <row r="36" spans="1:6" x14ac:dyDescent="0.3">
      <c r="A36" s="16" t="s">
        <v>54</v>
      </c>
      <c r="B36" s="20">
        <v>30</v>
      </c>
      <c r="C36" s="20">
        <v>1</v>
      </c>
      <c r="D36" s="20">
        <v>2200</v>
      </c>
    </row>
    <row r="37" spans="1:6" x14ac:dyDescent="0.3">
      <c r="A37" s="16" t="s">
        <v>55</v>
      </c>
      <c r="B37" s="20">
        <v>30</v>
      </c>
      <c r="C37" s="20">
        <v>1</v>
      </c>
      <c r="D37" s="20">
        <v>1500</v>
      </c>
    </row>
    <row r="38" spans="1:6" x14ac:dyDescent="0.3">
      <c r="A38" s="16" t="s">
        <v>56</v>
      </c>
      <c r="B38" s="20">
        <v>31</v>
      </c>
      <c r="C38" s="20">
        <v>2</v>
      </c>
      <c r="D38" s="20">
        <v>1200</v>
      </c>
    </row>
    <row r="39" spans="1:6" x14ac:dyDescent="0.3">
      <c r="A39" s="16" t="s">
        <v>57</v>
      </c>
      <c r="B39" s="20">
        <v>31</v>
      </c>
      <c r="C39" s="20">
        <v>4</v>
      </c>
      <c r="D39" s="20">
        <v>900</v>
      </c>
    </row>
    <row r="41" spans="1:6" x14ac:dyDescent="0.3">
      <c r="A41" s="13" t="s">
        <v>58</v>
      </c>
      <c r="B41" s="14"/>
      <c r="C41" s="14"/>
      <c r="D41" s="14"/>
      <c r="E41" s="14"/>
    </row>
    <row r="42" spans="1:6" ht="33.75" customHeight="1" x14ac:dyDescent="0.3">
      <c r="A42" s="16" t="s">
        <v>59</v>
      </c>
      <c r="B42" s="26">
        <v>150000</v>
      </c>
      <c r="E42" s="27" t="s">
        <v>60</v>
      </c>
      <c r="F42" t="s">
        <v>61</v>
      </c>
    </row>
    <row r="44" spans="1:6" x14ac:dyDescent="0.3">
      <c r="A44" s="13" t="s">
        <v>62</v>
      </c>
      <c r="B44" s="14"/>
      <c r="C44" s="14"/>
      <c r="D44" s="14"/>
      <c r="E44" s="14"/>
    </row>
    <row r="45" spans="1:6" x14ac:dyDescent="0.3">
      <c r="A45" s="15" t="s">
        <v>63</v>
      </c>
      <c r="B45" s="15" t="s">
        <v>64</v>
      </c>
      <c r="C45" s="15"/>
      <c r="D45" s="15"/>
      <c r="E45" s="15" t="s">
        <v>14</v>
      </c>
    </row>
    <row r="46" spans="1:6" ht="22.5" customHeight="1" x14ac:dyDescent="0.3">
      <c r="A46" s="16" t="s">
        <v>65</v>
      </c>
      <c r="B46" s="28">
        <v>6.5000000000000002E-2</v>
      </c>
      <c r="E46" s="29" t="s">
        <v>66</v>
      </c>
      <c r="F46" t="s">
        <v>67</v>
      </c>
    </row>
    <row r="47" spans="1:6" x14ac:dyDescent="0.3">
      <c r="A47" s="16" t="s">
        <v>68</v>
      </c>
      <c r="B47" s="28">
        <v>0.03</v>
      </c>
      <c r="F47" t="s">
        <v>69</v>
      </c>
    </row>
    <row r="48" spans="1:6" x14ac:dyDescent="0.3">
      <c r="A48" s="16" t="s">
        <v>70</v>
      </c>
      <c r="B48" s="28">
        <v>0.01</v>
      </c>
      <c r="F48" t="s">
        <v>71</v>
      </c>
    </row>
    <row r="50" spans="1:5" x14ac:dyDescent="0.3">
      <c r="A50" s="13" t="s">
        <v>72</v>
      </c>
      <c r="B50" s="14"/>
      <c r="C50" s="14"/>
      <c r="D50" s="14"/>
      <c r="E50" s="14"/>
    </row>
    <row r="51" spans="1:5" ht="22.5" customHeight="1" x14ac:dyDescent="0.3">
      <c r="A51" s="16" t="s">
        <v>73</v>
      </c>
      <c r="B51" s="21">
        <v>0.23899999999999999</v>
      </c>
      <c r="E51" s="19" t="s">
        <v>74</v>
      </c>
    </row>
    <row r="52" spans="1:5" x14ac:dyDescent="0.3">
      <c r="A52" s="16" t="s">
        <v>75</v>
      </c>
      <c r="B52" s="21">
        <v>0.317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zoomScaleNormal="100" workbookViewId="0">
      <selection activeCell="A21" sqref="A21:H21"/>
    </sheetView>
  </sheetViews>
  <sheetFormatPr defaultColWidth="8.6640625" defaultRowHeight="14.4" x14ac:dyDescent="0.3"/>
  <cols>
    <col min="1" max="1" width="22" customWidth="1"/>
    <col min="2" max="2" width="13" customWidth="1"/>
    <col min="3" max="6" width="11" customWidth="1"/>
    <col min="7" max="7" width="15" customWidth="1"/>
    <col min="8" max="8" width="46" customWidth="1"/>
  </cols>
  <sheetData>
    <row r="1" spans="1:8" ht="16.5" customHeight="1" x14ac:dyDescent="0.3">
      <c r="A1" s="30" t="s">
        <v>77</v>
      </c>
    </row>
    <row r="2" spans="1:8" x14ac:dyDescent="0.3">
      <c r="A2" s="31" t="s">
        <v>78</v>
      </c>
    </row>
    <row r="4" spans="1:8" x14ac:dyDescent="0.3">
      <c r="A4" s="32" t="s">
        <v>37</v>
      </c>
      <c r="B4" s="33">
        <v>8760</v>
      </c>
    </row>
    <row r="6" spans="1:8" ht="26.25" customHeight="1" x14ac:dyDescent="0.3">
      <c r="A6" s="34" t="s">
        <v>63</v>
      </c>
      <c r="B6" s="34" t="s">
        <v>79</v>
      </c>
      <c r="C6" s="34" t="s">
        <v>80</v>
      </c>
      <c r="D6" s="34" t="s">
        <v>81</v>
      </c>
      <c r="E6" s="34" t="s">
        <v>82</v>
      </c>
      <c r="F6" s="34" t="s">
        <v>83</v>
      </c>
      <c r="G6" s="34" t="s">
        <v>84</v>
      </c>
      <c r="H6" s="34" t="s">
        <v>85</v>
      </c>
    </row>
    <row r="7" spans="1:8" ht="22.5" customHeight="1" x14ac:dyDescent="0.3">
      <c r="A7" s="35" t="s">
        <v>86</v>
      </c>
      <c r="B7" s="36" t="s">
        <v>87</v>
      </c>
      <c r="C7" s="37">
        <v>3.9</v>
      </c>
      <c r="D7" s="37">
        <v>4.0999999999999996</v>
      </c>
      <c r="E7" s="38" t="s">
        <v>88</v>
      </c>
      <c r="F7" s="38" t="s">
        <v>88</v>
      </c>
      <c r="G7" s="39">
        <f t="shared" ref="G7:G18" si="0">IF(ISNUMBER(C7),C7*$B$4,"—")</f>
        <v>34164</v>
      </c>
      <c r="H7" s="27" t="s">
        <v>89</v>
      </c>
    </row>
    <row r="8" spans="1:8" x14ac:dyDescent="0.3">
      <c r="A8" s="35" t="s">
        <v>90</v>
      </c>
      <c r="B8" s="36" t="s">
        <v>87</v>
      </c>
      <c r="C8" s="37">
        <v>6.98</v>
      </c>
      <c r="D8" s="37">
        <v>3.67</v>
      </c>
      <c r="E8" s="38" t="s">
        <v>88</v>
      </c>
      <c r="F8" s="38" t="s">
        <v>88</v>
      </c>
      <c r="G8" s="39">
        <f t="shared" si="0"/>
        <v>61144.800000000003</v>
      </c>
      <c r="H8" s="27" t="s">
        <v>91</v>
      </c>
    </row>
    <row r="9" spans="1:8" ht="22.5" customHeight="1" x14ac:dyDescent="0.3">
      <c r="A9" s="35" t="s">
        <v>92</v>
      </c>
      <c r="B9" s="36" t="s">
        <v>87</v>
      </c>
      <c r="C9" s="37">
        <v>6.9</v>
      </c>
      <c r="D9" s="37">
        <v>3.67</v>
      </c>
      <c r="E9" s="38" t="s">
        <v>88</v>
      </c>
      <c r="F9" s="38" t="s">
        <v>88</v>
      </c>
      <c r="G9" s="39">
        <f t="shared" si="0"/>
        <v>60444</v>
      </c>
      <c r="H9" s="27" t="s">
        <v>93</v>
      </c>
    </row>
    <row r="10" spans="1:8" x14ac:dyDescent="0.3">
      <c r="A10" s="35" t="s">
        <v>94</v>
      </c>
      <c r="B10" s="36" t="s">
        <v>95</v>
      </c>
      <c r="C10" s="37">
        <v>2.99</v>
      </c>
      <c r="D10" s="37">
        <v>1.29</v>
      </c>
      <c r="E10" s="38" t="s">
        <v>88</v>
      </c>
      <c r="F10" s="38" t="s">
        <v>88</v>
      </c>
      <c r="G10" s="39">
        <f t="shared" si="0"/>
        <v>26192.400000000001</v>
      </c>
      <c r="H10" s="27" t="s">
        <v>96</v>
      </c>
    </row>
    <row r="11" spans="1:8" x14ac:dyDescent="0.3">
      <c r="A11" s="35" t="s">
        <v>97</v>
      </c>
      <c r="B11" s="36" t="s">
        <v>95</v>
      </c>
      <c r="C11" s="38" t="s">
        <v>88</v>
      </c>
      <c r="D11" s="38" t="s">
        <v>88</v>
      </c>
      <c r="E11" s="38" t="s">
        <v>88</v>
      </c>
      <c r="F11" s="38" t="s">
        <v>88</v>
      </c>
      <c r="G11" s="39" t="str">
        <f t="shared" si="0"/>
        <v>—</v>
      </c>
      <c r="H11" s="27" t="s">
        <v>98</v>
      </c>
    </row>
    <row r="12" spans="1:8" x14ac:dyDescent="0.3">
      <c r="A12" s="35" t="s">
        <v>99</v>
      </c>
      <c r="B12" s="36" t="s">
        <v>95</v>
      </c>
      <c r="C12" s="37">
        <v>2.79</v>
      </c>
      <c r="D12" s="37">
        <v>1.64</v>
      </c>
      <c r="E12" s="37">
        <v>0.99</v>
      </c>
      <c r="F12" s="37">
        <v>1.19</v>
      </c>
      <c r="G12" s="39">
        <f t="shared" si="0"/>
        <v>24440.400000000001</v>
      </c>
      <c r="H12" s="27" t="s">
        <v>100</v>
      </c>
    </row>
    <row r="13" spans="1:8" x14ac:dyDescent="0.3">
      <c r="A13" s="35" t="s">
        <v>101</v>
      </c>
      <c r="B13" s="36" t="s">
        <v>95</v>
      </c>
      <c r="C13" s="37">
        <v>2.95</v>
      </c>
      <c r="D13" s="37">
        <v>1.5</v>
      </c>
      <c r="E13" s="38" t="s">
        <v>88</v>
      </c>
      <c r="F13" s="38" t="s">
        <v>88</v>
      </c>
      <c r="G13" s="39">
        <f t="shared" si="0"/>
        <v>25842</v>
      </c>
      <c r="H13" s="27" t="s">
        <v>102</v>
      </c>
    </row>
    <row r="14" spans="1:8" x14ac:dyDescent="0.3">
      <c r="A14" s="35" t="s">
        <v>103</v>
      </c>
      <c r="B14" s="36" t="s">
        <v>95</v>
      </c>
      <c r="C14" s="37">
        <v>2</v>
      </c>
      <c r="D14" s="38" t="s">
        <v>88</v>
      </c>
      <c r="E14" s="38" t="s">
        <v>88</v>
      </c>
      <c r="F14" s="38" t="s">
        <v>88</v>
      </c>
      <c r="G14" s="39">
        <f t="shared" si="0"/>
        <v>17520</v>
      </c>
      <c r="H14" s="27" t="s">
        <v>104</v>
      </c>
    </row>
    <row r="15" spans="1:8" ht="22.5" customHeight="1" x14ac:dyDescent="0.3">
      <c r="A15" s="35" t="s">
        <v>105</v>
      </c>
      <c r="B15" s="36" t="s">
        <v>95</v>
      </c>
      <c r="C15" s="37">
        <v>2.99</v>
      </c>
      <c r="D15" s="37">
        <v>2.75</v>
      </c>
      <c r="E15" s="37">
        <v>1.4</v>
      </c>
      <c r="F15" s="38" t="s">
        <v>88</v>
      </c>
      <c r="G15" s="39">
        <f t="shared" si="0"/>
        <v>26192.400000000001</v>
      </c>
      <c r="H15" s="27" t="s">
        <v>106</v>
      </c>
    </row>
    <row r="16" spans="1:8" x14ac:dyDescent="0.3">
      <c r="A16" s="35" t="s">
        <v>107</v>
      </c>
      <c r="B16" s="36" t="s">
        <v>108</v>
      </c>
      <c r="C16" s="37">
        <v>1.49</v>
      </c>
      <c r="D16" s="37">
        <v>0.8</v>
      </c>
      <c r="E16" s="37">
        <v>0.67</v>
      </c>
      <c r="F16" s="37">
        <v>0.34</v>
      </c>
      <c r="G16" s="39">
        <f t="shared" si="0"/>
        <v>13052.4</v>
      </c>
      <c r="H16" s="27" t="s">
        <v>109</v>
      </c>
    </row>
    <row r="17" spans="1:8" x14ac:dyDescent="0.3">
      <c r="A17" s="35" t="s">
        <v>110</v>
      </c>
      <c r="B17" s="36" t="s">
        <v>108</v>
      </c>
      <c r="C17" s="37">
        <v>1.4</v>
      </c>
      <c r="D17" s="37">
        <v>0.78</v>
      </c>
      <c r="E17" s="38" t="s">
        <v>88</v>
      </c>
      <c r="F17" s="38" t="s">
        <v>88</v>
      </c>
      <c r="G17" s="39">
        <f t="shared" si="0"/>
        <v>12264</v>
      </c>
      <c r="H17" s="27" t="s">
        <v>111</v>
      </c>
    </row>
    <row r="18" spans="1:8" x14ac:dyDescent="0.3">
      <c r="A18" s="35" t="s">
        <v>112</v>
      </c>
      <c r="B18" s="36" t="s">
        <v>108</v>
      </c>
      <c r="C18" s="37">
        <v>2.0099999999999998</v>
      </c>
      <c r="D18" s="37">
        <v>1.2</v>
      </c>
      <c r="E18" s="38" t="s">
        <v>88</v>
      </c>
      <c r="F18" s="37">
        <v>1.03</v>
      </c>
      <c r="G18" s="39">
        <f t="shared" si="0"/>
        <v>17607.599999999999</v>
      </c>
      <c r="H18" s="27" t="s">
        <v>113</v>
      </c>
    </row>
    <row r="19" spans="1:8" ht="22.5" customHeight="1" x14ac:dyDescent="0.3">
      <c r="A19" s="40" t="s">
        <v>114</v>
      </c>
      <c r="B19" s="41" t="s">
        <v>115</v>
      </c>
      <c r="C19" s="42">
        <v>2.75</v>
      </c>
      <c r="D19" s="42">
        <v>2.2000000000000002</v>
      </c>
      <c r="E19" s="42">
        <v>1.8</v>
      </c>
      <c r="F19" s="41" t="s">
        <v>88</v>
      </c>
      <c r="G19" s="43">
        <f>C19*$B$4</f>
        <v>24090</v>
      </c>
      <c r="H19" s="27" t="s">
        <v>116</v>
      </c>
    </row>
    <row r="21" spans="1:8" ht="42" customHeight="1" x14ac:dyDescent="0.3">
      <c r="A21" s="8" t="s">
        <v>117</v>
      </c>
      <c r="B21" s="8"/>
      <c r="C21" s="8"/>
      <c r="D21" s="8"/>
      <c r="E21" s="8"/>
      <c r="F21" s="8"/>
      <c r="G21" s="8"/>
      <c r="H21" s="8"/>
    </row>
  </sheetData>
  <mergeCells count="1">
    <mergeCell ref="A21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tabSelected="1" zoomScaleNormal="100" workbookViewId="0">
      <selection activeCell="G14" sqref="G14"/>
    </sheetView>
  </sheetViews>
  <sheetFormatPr defaultColWidth="8.6640625" defaultRowHeight="14.4" x14ac:dyDescent="0.3"/>
  <cols>
    <col min="1" max="1" width="38" customWidth="1"/>
    <col min="2" max="2" width="10" customWidth="1"/>
    <col min="3" max="5" width="14" customWidth="1"/>
    <col min="6" max="8" width="16" customWidth="1"/>
  </cols>
  <sheetData>
    <row r="1" spans="1:8" ht="17.25" customHeight="1" x14ac:dyDescent="0.3">
      <c r="A1" s="9" t="s">
        <v>118</v>
      </c>
    </row>
    <row r="2" spans="1:8" x14ac:dyDescent="0.3">
      <c r="A2" s="10" t="s">
        <v>119</v>
      </c>
    </row>
    <row r="4" spans="1:8" ht="26.25" customHeight="1" x14ac:dyDescent="0.3">
      <c r="A4" s="15" t="s">
        <v>120</v>
      </c>
      <c r="B4" s="15" t="s">
        <v>121</v>
      </c>
      <c r="C4" s="15" t="s">
        <v>122</v>
      </c>
      <c r="D4" s="15" t="s">
        <v>123</v>
      </c>
      <c r="E4" s="15" t="s">
        <v>124</v>
      </c>
      <c r="F4" s="15" t="s">
        <v>125</v>
      </c>
      <c r="G4" s="15" t="s">
        <v>126</v>
      </c>
      <c r="H4" s="15" t="s">
        <v>127</v>
      </c>
    </row>
    <row r="5" spans="1:8" x14ac:dyDescent="0.3">
      <c r="A5" s="44" t="str">
        <f>Assumptions!A35</f>
        <v>Llama-3.1-8B (1× L40S, fp16)</v>
      </c>
      <c r="B5" s="45">
        <f>Assumptions!C35</f>
        <v>1</v>
      </c>
      <c r="C5" s="45">
        <f>Assumptions!D35</f>
        <v>3000</v>
      </c>
      <c r="D5" s="18">
        <f>C5*3600*Assumptions!$B$18/Assumptions!$B$13</f>
        <v>4320</v>
      </c>
      <c r="E5" s="18">
        <f>D5*Assumptions!$B$17</f>
        <v>34560</v>
      </c>
      <c r="F5" s="46">
        <f>Assumptions!B5/E5</f>
        <v>2.8935185185185184E-3</v>
      </c>
      <c r="G5" s="46">
        <f>Assumptions!B6/E5</f>
        <v>1.4467592592592593E-2</v>
      </c>
      <c r="H5" s="46">
        <f>Assumptions!B7/E5</f>
        <v>5.7870370370370371E-2</v>
      </c>
    </row>
    <row r="6" spans="1:8" x14ac:dyDescent="0.3">
      <c r="A6" s="44" t="str">
        <f>Assumptions!A36</f>
        <v>Mistral-Small-24B (1× H100)</v>
      </c>
      <c r="B6" s="45">
        <f>Assumptions!C36</f>
        <v>1</v>
      </c>
      <c r="C6" s="45">
        <f>Assumptions!D36</f>
        <v>2200</v>
      </c>
      <c r="D6" s="18">
        <f>C6*3600*Assumptions!$B$18/Assumptions!$B$13</f>
        <v>3168</v>
      </c>
      <c r="E6" s="18">
        <f>D6*Assumptions!$B$17</f>
        <v>25344</v>
      </c>
      <c r="F6" s="46">
        <f>Assumptions!B5/E6</f>
        <v>3.945707070707071E-3</v>
      </c>
      <c r="G6" s="46">
        <f>Assumptions!B6/E6</f>
        <v>1.9728535353535352E-2</v>
      </c>
      <c r="H6" s="46">
        <f>Assumptions!B7/E6</f>
        <v>7.8914141414141409E-2</v>
      </c>
    </row>
    <row r="7" spans="1:8" x14ac:dyDescent="0.3">
      <c r="A7" s="44" t="str">
        <f>Assumptions!A37</f>
        <v>Llama-3.3-70B (1× H100, AWQ 4-bit)</v>
      </c>
      <c r="B7" s="45">
        <f>Assumptions!C37</f>
        <v>1</v>
      </c>
      <c r="C7" s="45">
        <f>Assumptions!D37</f>
        <v>1500</v>
      </c>
      <c r="D7" s="18">
        <f>C7*3600*Assumptions!$B$18/Assumptions!$B$13</f>
        <v>2160</v>
      </c>
      <c r="E7" s="18">
        <f>D7*Assumptions!$B$17</f>
        <v>17280</v>
      </c>
      <c r="F7" s="46">
        <f>Assumptions!B5/E7</f>
        <v>5.7870370370370367E-3</v>
      </c>
      <c r="G7" s="46">
        <f>Assumptions!B6/E7</f>
        <v>2.8935185185185185E-2</v>
      </c>
      <c r="H7" s="46">
        <f>Assumptions!B7/E7</f>
        <v>0.11574074074074074</v>
      </c>
    </row>
    <row r="8" spans="1:8" x14ac:dyDescent="0.3">
      <c r="A8" s="44" t="str">
        <f>Assumptions!A38</f>
        <v>Llama-3.3-70B (2× A100, TP2 fp16)</v>
      </c>
      <c r="B8" s="45">
        <f>Assumptions!C38</f>
        <v>2</v>
      </c>
      <c r="C8" s="45">
        <f>Assumptions!D38</f>
        <v>1200</v>
      </c>
      <c r="D8" s="18">
        <f>C8*3600*Assumptions!$B$18/Assumptions!$B$13</f>
        <v>1728</v>
      </c>
      <c r="E8" s="18">
        <f>D8*Assumptions!$B$17</f>
        <v>13824</v>
      </c>
      <c r="F8" s="46">
        <f>Assumptions!B5/E8</f>
        <v>7.2337962962962963E-3</v>
      </c>
      <c r="G8" s="46">
        <f>Assumptions!B6/E8</f>
        <v>3.6168981481481483E-2</v>
      </c>
      <c r="H8" s="46">
        <f>Assumptions!B7/E8</f>
        <v>0.14467592592592593</v>
      </c>
    </row>
    <row r="9" spans="1:8" x14ac:dyDescent="0.3">
      <c r="A9" s="44" t="str">
        <f>Assumptions!A39</f>
        <v>Cohere Command-A/R+ (4× A100)</v>
      </c>
      <c r="B9" s="45">
        <f>Assumptions!C39</f>
        <v>4</v>
      </c>
      <c r="C9" s="45">
        <f>Assumptions!D39</f>
        <v>900</v>
      </c>
      <c r="D9" s="18">
        <f>C9*3600*Assumptions!$B$18/Assumptions!$B$13</f>
        <v>1296</v>
      </c>
      <c r="E9" s="18">
        <f>D9*Assumptions!$B$17</f>
        <v>10368</v>
      </c>
      <c r="F9" s="46">
        <f>Assumptions!B5/E9</f>
        <v>9.6450617283950612E-3</v>
      </c>
      <c r="G9" s="46">
        <f>Assumptions!B6/E9</f>
        <v>4.8225308641975308E-2</v>
      </c>
      <c r="H9" s="46">
        <f>Assumptions!B7/E9</f>
        <v>0.19290123456790123</v>
      </c>
    </row>
    <row r="11" spans="1:8" ht="30" customHeight="1" x14ac:dyDescent="0.3">
      <c r="A11" s="7"/>
      <c r="B11" s="7"/>
      <c r="C11" s="7"/>
      <c r="D11" s="7"/>
      <c r="E11" s="7"/>
      <c r="F11" s="7"/>
      <c r="G11" s="7"/>
      <c r="H11" s="7"/>
    </row>
  </sheetData>
  <mergeCells count="1">
    <mergeCell ref="A11:H1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zoomScaleNormal="100" workbookViewId="0">
      <selection activeCell="A16" sqref="A16:XFD16"/>
    </sheetView>
  </sheetViews>
  <sheetFormatPr defaultColWidth="8.6640625" defaultRowHeight="14.4" x14ac:dyDescent="0.3"/>
  <cols>
    <col min="1" max="1" width="34" customWidth="1"/>
    <col min="2" max="6" width="16" customWidth="1"/>
    <col min="7" max="7" width="18" customWidth="1"/>
  </cols>
  <sheetData>
    <row r="1" spans="1:7" ht="17.25" customHeight="1" x14ac:dyDescent="0.3">
      <c r="A1" s="9" t="s">
        <v>128</v>
      </c>
    </row>
    <row r="2" spans="1:7" x14ac:dyDescent="0.3">
      <c r="A2" s="10" t="s">
        <v>129</v>
      </c>
    </row>
    <row r="4" spans="1:7" x14ac:dyDescent="0.3">
      <c r="A4" s="47" t="s">
        <v>48</v>
      </c>
      <c r="B4" s="6" t="str">
        <f>Assumptions!A35</f>
        <v>Llama-3.1-8B (1× L40S, fp16)</v>
      </c>
      <c r="C4" s="6"/>
      <c r="D4" s="6"/>
      <c r="E4" s="6"/>
    </row>
    <row r="5" spans="1:7" x14ac:dyDescent="0.3">
      <c r="A5" s="47" t="s">
        <v>50</v>
      </c>
      <c r="B5" s="45">
        <f>Assumptions!C35</f>
        <v>1</v>
      </c>
    </row>
    <row r="6" spans="1:7" x14ac:dyDescent="0.3">
      <c r="A6" s="47" t="s">
        <v>130</v>
      </c>
      <c r="B6" s="48">
        <f>INDEX(Assumptions!$B$29:$B$31,Assumptions!B35-28)</f>
        <v>12000</v>
      </c>
    </row>
    <row r="7" spans="1:7" x14ac:dyDescent="0.3">
      <c r="A7" s="47" t="s">
        <v>131</v>
      </c>
      <c r="B7" s="45">
        <f>INDEX(Assumptions!$C$29:$C$31,Assumptions!B35-28)</f>
        <v>350</v>
      </c>
    </row>
    <row r="8" spans="1:7" x14ac:dyDescent="0.3">
      <c r="A8" s="47" t="s">
        <v>132</v>
      </c>
      <c r="B8" s="49">
        <f>INDEX(Assumptions!$D$29:$D$31,Assumptions!B35-28)</f>
        <v>1.8</v>
      </c>
    </row>
    <row r="9" spans="1:7" x14ac:dyDescent="0.3">
      <c r="A9" s="47" t="s">
        <v>133</v>
      </c>
      <c r="B9" s="18">
        <f>Assumptions!D35*3600*Assumptions!$B$18*Assumptions!$B$17/Assumptions!$B$13</f>
        <v>34560</v>
      </c>
    </row>
    <row r="11" spans="1:7" x14ac:dyDescent="0.3">
      <c r="A11" s="13" t="s">
        <v>134</v>
      </c>
      <c r="B11" s="14"/>
      <c r="C11" s="14"/>
      <c r="D11" s="14"/>
      <c r="E11" s="14"/>
      <c r="F11" s="14"/>
      <c r="G11" s="14"/>
    </row>
    <row r="12" spans="1:7" ht="26.25" customHeight="1" x14ac:dyDescent="0.3">
      <c r="A12" s="15" t="s">
        <v>135</v>
      </c>
      <c r="B12" s="15" t="s">
        <v>136</v>
      </c>
      <c r="C12" s="15" t="s">
        <v>137</v>
      </c>
      <c r="D12" s="15"/>
      <c r="E12" s="15" t="s">
        <v>138</v>
      </c>
    </row>
    <row r="13" spans="1:7" x14ac:dyDescent="0.3">
      <c r="A13" s="16" t="s">
        <v>139</v>
      </c>
      <c r="B13" s="50">
        <f>B6*B5/Assumptions!$B$21</f>
        <v>4000</v>
      </c>
      <c r="C13" s="50">
        <f>B8*B5*Assumptions!$B$24</f>
        <v>15768</v>
      </c>
      <c r="E13" s="51" t="s">
        <v>140</v>
      </c>
    </row>
    <row r="14" spans="1:7" x14ac:dyDescent="0.3">
      <c r="A14" s="16" t="s">
        <v>141</v>
      </c>
      <c r="B14" s="50">
        <f>B7*B5*Assumptions!$B$23*Assumptions!$B$24*Assumptions!$B$22/1000</f>
        <v>459.9</v>
      </c>
      <c r="C14" s="50">
        <v>0</v>
      </c>
      <c r="E14" s="51" t="s">
        <v>142</v>
      </c>
    </row>
    <row r="15" spans="1:7" x14ac:dyDescent="0.3">
      <c r="A15" s="16" t="s">
        <v>143</v>
      </c>
      <c r="B15" s="50">
        <f>0</f>
        <v>0</v>
      </c>
      <c r="C15" s="50">
        <f>0</f>
        <v>0</v>
      </c>
    </row>
    <row r="16" spans="1:7" x14ac:dyDescent="0.3">
      <c r="A16" s="47" t="s">
        <v>144</v>
      </c>
      <c r="B16" s="52">
        <f>SUM(B13:B15)</f>
        <v>4459.8999999999996</v>
      </c>
      <c r="C16" s="52">
        <f>SUM(C13:C15)</f>
        <v>15768</v>
      </c>
    </row>
    <row r="18" spans="1:7" ht="26.25" customHeight="1" x14ac:dyDescent="0.3">
      <c r="A18" s="13" t="s">
        <v>145</v>
      </c>
      <c r="B18" s="14"/>
      <c r="C18" s="14"/>
      <c r="D18" s="14"/>
      <c r="E18" s="14"/>
      <c r="F18" s="14"/>
      <c r="G18" s="14"/>
    </row>
    <row r="19" spans="1:7" ht="26.4" x14ac:dyDescent="0.3">
      <c r="A19" s="15" t="s">
        <v>11</v>
      </c>
      <c r="B19" s="15" t="s">
        <v>13</v>
      </c>
      <c r="C19" s="15" t="s">
        <v>146</v>
      </c>
      <c r="D19" s="15" t="s">
        <v>147</v>
      </c>
      <c r="E19" s="15" t="s">
        <v>148</v>
      </c>
    </row>
    <row r="20" spans="1:7" x14ac:dyDescent="0.3">
      <c r="A20" s="16" t="s">
        <v>149</v>
      </c>
      <c r="B20" s="45">
        <f>Assumptions!C5</f>
        <v>26000</v>
      </c>
      <c r="C20" s="53">
        <f>$B$16/B20</f>
        <v>0.17153461538461537</v>
      </c>
      <c r="D20" s="53">
        <f>$C$16/B20</f>
        <v>0.6064615384615385</v>
      </c>
      <c r="E20" s="46">
        <f>Assumptions!B5/$B$9</f>
        <v>2.8935185185185184E-3</v>
      </c>
    </row>
    <row r="21" spans="1:7" x14ac:dyDescent="0.3">
      <c r="A21" s="16" t="s">
        <v>150</v>
      </c>
      <c r="B21" s="45">
        <f>Assumptions!C6</f>
        <v>130000</v>
      </c>
      <c r="C21" s="53">
        <f>$B$16/B21</f>
        <v>3.4306923076923075E-2</v>
      </c>
      <c r="D21" s="53">
        <f>$C$16/B21</f>
        <v>0.12129230769230769</v>
      </c>
      <c r="E21" s="46">
        <f>Assumptions!B6/$B$9</f>
        <v>1.4467592592592593E-2</v>
      </c>
    </row>
    <row r="22" spans="1:7" x14ac:dyDescent="0.3">
      <c r="A22" s="16" t="s">
        <v>151</v>
      </c>
      <c r="B22" s="45">
        <f>Assumptions!C7</f>
        <v>520000</v>
      </c>
      <c r="C22" s="53">
        <f>$B$16/B22</f>
        <v>8.5767307692307688E-3</v>
      </c>
      <c r="D22" s="53">
        <f>$C$16/B22</f>
        <v>3.0323076923076921E-2</v>
      </c>
      <c r="E22" s="46">
        <f>Assumptions!B7/$B$9</f>
        <v>5.7870370370370371E-2</v>
      </c>
    </row>
  </sheetData>
  <mergeCells count="1">
    <mergeCell ref="B4:E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zoomScaleNormal="100" workbookViewId="0">
      <selection activeCell="A16" sqref="A16:XFD16"/>
    </sheetView>
  </sheetViews>
  <sheetFormatPr defaultColWidth="8.6640625" defaultRowHeight="14.4" x14ac:dyDescent="0.3"/>
  <cols>
    <col min="1" max="1" width="34" customWidth="1"/>
    <col min="2" max="6" width="16" customWidth="1"/>
    <col min="7" max="7" width="18" customWidth="1"/>
  </cols>
  <sheetData>
    <row r="1" spans="1:7" ht="17.25" customHeight="1" x14ac:dyDescent="0.3">
      <c r="A1" s="9" t="s">
        <v>152</v>
      </c>
    </row>
    <row r="2" spans="1:7" x14ac:dyDescent="0.3">
      <c r="A2" s="10" t="s">
        <v>153</v>
      </c>
    </row>
    <row r="4" spans="1:7" x14ac:dyDescent="0.3">
      <c r="A4" s="47" t="s">
        <v>48</v>
      </c>
      <c r="B4" s="6" t="str">
        <f>Assumptions!A36</f>
        <v>Mistral-Small-24B (1× H100)</v>
      </c>
      <c r="C4" s="6"/>
      <c r="D4" s="6"/>
      <c r="E4" s="6"/>
    </row>
    <row r="5" spans="1:7" x14ac:dyDescent="0.3">
      <c r="A5" s="47" t="s">
        <v>50</v>
      </c>
      <c r="B5" s="45">
        <f>Assumptions!C36</f>
        <v>1</v>
      </c>
    </row>
    <row r="6" spans="1:7" x14ac:dyDescent="0.3">
      <c r="A6" s="47" t="s">
        <v>130</v>
      </c>
      <c r="B6" s="48">
        <f>INDEX(Assumptions!$B$29:$B$31,Assumptions!B36-28)</f>
        <v>32000</v>
      </c>
    </row>
    <row r="7" spans="1:7" x14ac:dyDescent="0.3">
      <c r="A7" s="47" t="s">
        <v>131</v>
      </c>
      <c r="B7" s="45">
        <f>INDEX(Assumptions!$C$29:$C$31,Assumptions!B36-28)</f>
        <v>700</v>
      </c>
    </row>
    <row r="8" spans="1:7" x14ac:dyDescent="0.3">
      <c r="A8" s="47" t="s">
        <v>132</v>
      </c>
      <c r="B8" s="49">
        <f>INDEX(Assumptions!$D$29:$D$31,Assumptions!B36-28)</f>
        <v>2.75</v>
      </c>
    </row>
    <row r="9" spans="1:7" x14ac:dyDescent="0.3">
      <c r="A9" s="47" t="s">
        <v>133</v>
      </c>
      <c r="B9" s="18">
        <f>Assumptions!D36*3600*Assumptions!$B$18*Assumptions!$B$17/Assumptions!$B$13</f>
        <v>25344</v>
      </c>
    </row>
    <row r="11" spans="1:7" x14ac:dyDescent="0.3">
      <c r="A11" s="13" t="s">
        <v>134</v>
      </c>
      <c r="B11" s="14"/>
      <c r="C11" s="14"/>
      <c r="D11" s="14"/>
      <c r="E11" s="14"/>
      <c r="F11" s="14"/>
      <c r="G11" s="14"/>
    </row>
    <row r="12" spans="1:7" ht="26.25" customHeight="1" x14ac:dyDescent="0.3">
      <c r="A12" s="15" t="s">
        <v>135</v>
      </c>
      <c r="B12" s="15" t="s">
        <v>136</v>
      </c>
      <c r="C12" s="15" t="s">
        <v>137</v>
      </c>
      <c r="D12" s="15"/>
      <c r="E12" s="15" t="s">
        <v>138</v>
      </c>
    </row>
    <row r="13" spans="1:7" x14ac:dyDescent="0.3">
      <c r="A13" s="16" t="s">
        <v>139</v>
      </c>
      <c r="B13" s="50">
        <f>B6*B5/Assumptions!$B$21</f>
        <v>10666.666666666666</v>
      </c>
      <c r="C13" s="50">
        <f>B8*B5*Assumptions!$B$24</f>
        <v>24090</v>
      </c>
      <c r="E13" s="51" t="s">
        <v>140</v>
      </c>
    </row>
    <row r="14" spans="1:7" x14ac:dyDescent="0.3">
      <c r="A14" s="16" t="s">
        <v>141</v>
      </c>
      <c r="B14" s="50">
        <f>B7*B5*Assumptions!$B$23*Assumptions!$B$24*Assumptions!$B$22/1000</f>
        <v>919.8</v>
      </c>
      <c r="C14" s="50">
        <v>0</v>
      </c>
      <c r="E14" s="51" t="s">
        <v>142</v>
      </c>
    </row>
    <row r="15" spans="1:7" x14ac:dyDescent="0.3">
      <c r="A15" s="16" t="s">
        <v>143</v>
      </c>
      <c r="B15" s="50">
        <f>0</f>
        <v>0</v>
      </c>
      <c r="C15" s="50">
        <f>0</f>
        <v>0</v>
      </c>
    </row>
    <row r="16" spans="1:7" x14ac:dyDescent="0.3">
      <c r="A16" s="47" t="s">
        <v>144</v>
      </c>
      <c r="B16" s="52">
        <f>SUM(B13:B15)</f>
        <v>11586.466666666665</v>
      </c>
      <c r="C16" s="52">
        <f>SUM(C13:C15)</f>
        <v>24090</v>
      </c>
    </row>
    <row r="18" spans="1:7" ht="26.25" customHeight="1" x14ac:dyDescent="0.3">
      <c r="A18" s="13" t="s">
        <v>145</v>
      </c>
      <c r="B18" s="14"/>
      <c r="C18" s="14"/>
      <c r="D18" s="14"/>
      <c r="E18" s="14"/>
      <c r="F18" s="14"/>
      <c r="G18" s="14"/>
    </row>
    <row r="19" spans="1:7" ht="26.4" x14ac:dyDescent="0.3">
      <c r="A19" s="15" t="s">
        <v>11</v>
      </c>
      <c r="B19" s="15" t="s">
        <v>13</v>
      </c>
      <c r="C19" s="15" t="s">
        <v>146</v>
      </c>
      <c r="D19" s="15" t="s">
        <v>147</v>
      </c>
      <c r="E19" s="15" t="s">
        <v>148</v>
      </c>
    </row>
    <row r="20" spans="1:7" x14ac:dyDescent="0.3">
      <c r="A20" s="16" t="s">
        <v>149</v>
      </c>
      <c r="B20" s="45">
        <f>Assumptions!C5</f>
        <v>26000</v>
      </c>
      <c r="C20" s="53">
        <f>$B$16/B20</f>
        <v>0.44563333333333327</v>
      </c>
      <c r="D20" s="53">
        <f>$C$16/B20</f>
        <v>0.92653846153846153</v>
      </c>
      <c r="E20" s="46">
        <f>Assumptions!B5/$B$9</f>
        <v>3.945707070707071E-3</v>
      </c>
    </row>
    <row r="21" spans="1:7" x14ac:dyDescent="0.3">
      <c r="A21" s="16" t="s">
        <v>150</v>
      </c>
      <c r="B21" s="45">
        <f>Assumptions!C6</f>
        <v>130000</v>
      </c>
      <c r="C21" s="53">
        <f>$B$16/B21</f>
        <v>8.912666666666666E-2</v>
      </c>
      <c r="D21" s="53">
        <f>$C$16/B21</f>
        <v>0.18530769230769231</v>
      </c>
      <c r="E21" s="46">
        <f>Assumptions!B6/$B$9</f>
        <v>1.9728535353535352E-2</v>
      </c>
    </row>
    <row r="22" spans="1:7" x14ac:dyDescent="0.3">
      <c r="A22" s="16" t="s">
        <v>151</v>
      </c>
      <c r="B22" s="45">
        <f>Assumptions!C7</f>
        <v>520000</v>
      </c>
      <c r="C22" s="53">
        <f>$B$16/B22</f>
        <v>2.2281666666666665E-2</v>
      </c>
      <c r="D22" s="53">
        <f>$C$16/B22</f>
        <v>4.6326923076923078E-2</v>
      </c>
      <c r="E22" s="46">
        <f>Assumptions!B7/$B$9</f>
        <v>7.8914141414141409E-2</v>
      </c>
    </row>
  </sheetData>
  <mergeCells count="1">
    <mergeCell ref="B4:E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"/>
  <sheetViews>
    <sheetView zoomScaleNormal="100" workbookViewId="0">
      <selection activeCell="A16" sqref="A16:XFD16"/>
    </sheetView>
  </sheetViews>
  <sheetFormatPr defaultColWidth="8.6640625" defaultRowHeight="14.4" x14ac:dyDescent="0.3"/>
  <cols>
    <col min="1" max="1" width="34" customWidth="1"/>
    <col min="2" max="6" width="16" customWidth="1"/>
    <col min="7" max="7" width="18" customWidth="1"/>
  </cols>
  <sheetData>
    <row r="1" spans="1:7" ht="17.25" customHeight="1" x14ac:dyDescent="0.3">
      <c r="A1" s="9" t="s">
        <v>154</v>
      </c>
    </row>
    <row r="2" spans="1:7" x14ac:dyDescent="0.3">
      <c r="A2" s="10" t="s">
        <v>155</v>
      </c>
    </row>
    <row r="4" spans="1:7" x14ac:dyDescent="0.3">
      <c r="A4" s="47" t="s">
        <v>48</v>
      </c>
      <c r="B4" s="6" t="str">
        <f>Assumptions!A37</f>
        <v>Llama-3.3-70B (1× H100, AWQ 4-bit)</v>
      </c>
      <c r="C4" s="6"/>
      <c r="D4" s="6"/>
      <c r="E4" s="6"/>
    </row>
    <row r="5" spans="1:7" x14ac:dyDescent="0.3">
      <c r="A5" s="47" t="s">
        <v>50</v>
      </c>
      <c r="B5" s="45">
        <f>Assumptions!C37</f>
        <v>1</v>
      </c>
    </row>
    <row r="6" spans="1:7" x14ac:dyDescent="0.3">
      <c r="A6" s="47" t="s">
        <v>130</v>
      </c>
      <c r="B6" s="48">
        <f>INDEX(Assumptions!$B$29:$B$31,Assumptions!B37-28)</f>
        <v>32000</v>
      </c>
    </row>
    <row r="7" spans="1:7" x14ac:dyDescent="0.3">
      <c r="A7" s="47" t="s">
        <v>131</v>
      </c>
      <c r="B7" s="45">
        <f>INDEX(Assumptions!$C$29:$C$31,Assumptions!B37-28)</f>
        <v>700</v>
      </c>
    </row>
    <row r="8" spans="1:7" x14ac:dyDescent="0.3">
      <c r="A8" s="47" t="s">
        <v>132</v>
      </c>
      <c r="B8" s="49">
        <f>INDEX(Assumptions!$D$29:$D$31,Assumptions!B37-28)</f>
        <v>2.75</v>
      </c>
    </row>
    <row r="9" spans="1:7" x14ac:dyDescent="0.3">
      <c r="A9" s="47" t="s">
        <v>133</v>
      </c>
      <c r="B9" s="18">
        <f>Assumptions!D37*3600*Assumptions!$B$18*Assumptions!$B$17/Assumptions!$B$13</f>
        <v>17280</v>
      </c>
    </row>
    <row r="11" spans="1:7" x14ac:dyDescent="0.3">
      <c r="A11" s="13" t="s">
        <v>134</v>
      </c>
      <c r="B11" s="14"/>
      <c r="C11" s="14"/>
      <c r="D11" s="14"/>
      <c r="E11" s="14"/>
      <c r="F11" s="14"/>
      <c r="G11" s="14"/>
    </row>
    <row r="12" spans="1:7" ht="26.25" customHeight="1" x14ac:dyDescent="0.3">
      <c r="A12" s="15" t="s">
        <v>135</v>
      </c>
      <c r="B12" s="15" t="s">
        <v>136</v>
      </c>
      <c r="C12" s="15" t="s">
        <v>137</v>
      </c>
      <c r="D12" s="15"/>
      <c r="E12" s="15" t="s">
        <v>138</v>
      </c>
    </row>
    <row r="13" spans="1:7" x14ac:dyDescent="0.3">
      <c r="A13" s="16" t="s">
        <v>139</v>
      </c>
      <c r="B13" s="50">
        <f>B6*B5/Assumptions!$B$21</f>
        <v>10666.666666666666</v>
      </c>
      <c r="C13" s="50">
        <f>B8*B5*Assumptions!$B$24</f>
        <v>24090</v>
      </c>
      <c r="E13" s="51" t="s">
        <v>140</v>
      </c>
    </row>
    <row r="14" spans="1:7" x14ac:dyDescent="0.3">
      <c r="A14" s="16" t="s">
        <v>141</v>
      </c>
      <c r="B14" s="50">
        <f>B7*B5*Assumptions!$B$23*Assumptions!$B$24*Assumptions!$B$22/1000</f>
        <v>919.8</v>
      </c>
      <c r="C14" s="50">
        <v>0</v>
      </c>
      <c r="E14" s="51" t="s">
        <v>142</v>
      </c>
    </row>
    <row r="15" spans="1:7" x14ac:dyDescent="0.3">
      <c r="A15" s="16" t="s">
        <v>143</v>
      </c>
      <c r="B15" s="50">
        <f>0</f>
        <v>0</v>
      </c>
      <c r="C15" s="50">
        <f>0</f>
        <v>0</v>
      </c>
    </row>
    <row r="16" spans="1:7" x14ac:dyDescent="0.3">
      <c r="A16" s="47" t="s">
        <v>144</v>
      </c>
      <c r="B16" s="52">
        <f>SUM(B13:B15)</f>
        <v>11586.466666666665</v>
      </c>
      <c r="C16" s="52">
        <f>SUM(C13:C15)</f>
        <v>24090</v>
      </c>
    </row>
    <row r="18" spans="1:7" ht="26.25" customHeight="1" x14ac:dyDescent="0.3">
      <c r="A18" s="13" t="s">
        <v>145</v>
      </c>
      <c r="B18" s="14"/>
      <c r="C18" s="14"/>
      <c r="D18" s="14"/>
      <c r="E18" s="14"/>
      <c r="F18" s="14"/>
      <c r="G18" s="14"/>
    </row>
    <row r="19" spans="1:7" ht="26.4" x14ac:dyDescent="0.3">
      <c r="A19" s="15" t="s">
        <v>11</v>
      </c>
      <c r="B19" s="15" t="s">
        <v>13</v>
      </c>
      <c r="C19" s="15" t="s">
        <v>146</v>
      </c>
      <c r="D19" s="15" t="s">
        <v>147</v>
      </c>
      <c r="E19" s="15" t="s">
        <v>148</v>
      </c>
    </row>
    <row r="20" spans="1:7" x14ac:dyDescent="0.3">
      <c r="A20" s="16" t="s">
        <v>149</v>
      </c>
      <c r="B20" s="45">
        <f>Assumptions!C5</f>
        <v>26000</v>
      </c>
      <c r="C20" s="53">
        <f>$B$16/B20</f>
        <v>0.44563333333333327</v>
      </c>
      <c r="D20" s="53">
        <f>$C$16/B20</f>
        <v>0.92653846153846153</v>
      </c>
      <c r="E20" s="46">
        <f>Assumptions!B5/$B$9</f>
        <v>5.7870370370370367E-3</v>
      </c>
    </row>
    <row r="21" spans="1:7" x14ac:dyDescent="0.3">
      <c r="A21" s="16" t="s">
        <v>150</v>
      </c>
      <c r="B21" s="45">
        <f>Assumptions!C6</f>
        <v>130000</v>
      </c>
      <c r="C21" s="53">
        <f>$B$16/B21</f>
        <v>8.912666666666666E-2</v>
      </c>
      <c r="D21" s="53">
        <f>$C$16/B21</f>
        <v>0.18530769230769231</v>
      </c>
      <c r="E21" s="46">
        <f>Assumptions!B6/$B$9</f>
        <v>2.8935185185185185E-2</v>
      </c>
    </row>
    <row r="22" spans="1:7" x14ac:dyDescent="0.3">
      <c r="A22" s="16" t="s">
        <v>151</v>
      </c>
      <c r="B22" s="45">
        <f>Assumptions!C7</f>
        <v>520000</v>
      </c>
      <c r="C22" s="53">
        <f>$B$16/B22</f>
        <v>2.2281666666666665E-2</v>
      </c>
      <c r="D22" s="53">
        <f>$C$16/B22</f>
        <v>4.6326923076923078E-2</v>
      </c>
      <c r="E22" s="46">
        <f>Assumptions!B7/$B$9</f>
        <v>0.11574074074074074</v>
      </c>
    </row>
  </sheetData>
  <mergeCells count="1">
    <mergeCell ref="B4:E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2"/>
  <sheetViews>
    <sheetView zoomScaleNormal="100" workbookViewId="0">
      <selection activeCell="A16" sqref="A16:XFD16"/>
    </sheetView>
  </sheetViews>
  <sheetFormatPr defaultColWidth="8.6640625" defaultRowHeight="14.4" x14ac:dyDescent="0.3"/>
  <cols>
    <col min="1" max="1" width="34" customWidth="1"/>
    <col min="2" max="6" width="16" customWidth="1"/>
    <col min="7" max="7" width="18" customWidth="1"/>
  </cols>
  <sheetData>
    <row r="1" spans="1:7" ht="17.25" customHeight="1" x14ac:dyDescent="0.3">
      <c r="A1" s="9" t="s">
        <v>156</v>
      </c>
    </row>
    <row r="2" spans="1:7" x14ac:dyDescent="0.3">
      <c r="A2" s="10" t="s">
        <v>157</v>
      </c>
    </row>
    <row r="4" spans="1:7" x14ac:dyDescent="0.3">
      <c r="A4" s="47" t="s">
        <v>48</v>
      </c>
      <c r="B4" s="6" t="str">
        <f>Assumptions!A39</f>
        <v>Cohere Command-A/R+ (4× A100)</v>
      </c>
      <c r="C4" s="6"/>
      <c r="D4" s="6"/>
      <c r="E4" s="6"/>
    </row>
    <row r="5" spans="1:7" x14ac:dyDescent="0.3">
      <c r="A5" s="47" t="s">
        <v>50</v>
      </c>
      <c r="B5" s="45">
        <f>Assumptions!C39</f>
        <v>4</v>
      </c>
    </row>
    <row r="6" spans="1:7" x14ac:dyDescent="0.3">
      <c r="A6" s="47" t="s">
        <v>130</v>
      </c>
      <c r="B6" s="48">
        <f>INDEX(Assumptions!$B$29:$B$31,Assumptions!B39-28)</f>
        <v>20000</v>
      </c>
    </row>
    <row r="7" spans="1:7" x14ac:dyDescent="0.3">
      <c r="A7" s="47" t="s">
        <v>131</v>
      </c>
      <c r="B7" s="45">
        <f>INDEX(Assumptions!$C$29:$C$31,Assumptions!B39-28)</f>
        <v>400</v>
      </c>
    </row>
    <row r="8" spans="1:7" x14ac:dyDescent="0.3">
      <c r="A8" s="47" t="s">
        <v>132</v>
      </c>
      <c r="B8" s="49">
        <f>INDEX(Assumptions!$D$29:$D$31,Assumptions!B39-28)</f>
        <v>2.2000000000000002</v>
      </c>
    </row>
    <row r="9" spans="1:7" x14ac:dyDescent="0.3">
      <c r="A9" s="47" t="s">
        <v>133</v>
      </c>
      <c r="B9" s="18">
        <f>Assumptions!D39*3600*Assumptions!$B$18*Assumptions!$B$17/Assumptions!$B$13</f>
        <v>10368</v>
      </c>
    </row>
    <row r="11" spans="1:7" x14ac:dyDescent="0.3">
      <c r="A11" s="13" t="s">
        <v>134</v>
      </c>
      <c r="B11" s="14"/>
      <c r="C11" s="14"/>
      <c r="D11" s="14"/>
      <c r="E11" s="14"/>
      <c r="F11" s="14"/>
      <c r="G11" s="14"/>
    </row>
    <row r="12" spans="1:7" ht="26.25" customHeight="1" x14ac:dyDescent="0.3">
      <c r="A12" s="15" t="s">
        <v>135</v>
      </c>
      <c r="B12" s="15" t="s">
        <v>136</v>
      </c>
      <c r="C12" s="15" t="s">
        <v>137</v>
      </c>
      <c r="D12" s="15"/>
      <c r="E12" s="15" t="s">
        <v>138</v>
      </c>
    </row>
    <row r="13" spans="1:7" x14ac:dyDescent="0.3">
      <c r="A13" s="16" t="s">
        <v>139</v>
      </c>
      <c r="B13" s="50">
        <f>B6*B5/Assumptions!$B$21</f>
        <v>26666.666666666668</v>
      </c>
      <c r="C13" s="50">
        <f>B8*B5*Assumptions!$B$24</f>
        <v>77088</v>
      </c>
      <c r="E13" s="51" t="s">
        <v>140</v>
      </c>
    </row>
    <row r="14" spans="1:7" x14ac:dyDescent="0.3">
      <c r="A14" s="16" t="s">
        <v>141</v>
      </c>
      <c r="B14" s="50">
        <f>B7*B5*Assumptions!$B$23*Assumptions!$B$24*Assumptions!$B$22/1000</f>
        <v>2102.4</v>
      </c>
      <c r="C14" s="50">
        <v>0</v>
      </c>
      <c r="E14" s="51" t="s">
        <v>142</v>
      </c>
    </row>
    <row r="15" spans="1:7" x14ac:dyDescent="0.3">
      <c r="A15" s="16" t="s">
        <v>143</v>
      </c>
      <c r="B15" s="54">
        <f>Assumptions!$B$42</f>
        <v>150000</v>
      </c>
      <c r="C15" s="54">
        <f>Assumptions!$B$42</f>
        <v>150000</v>
      </c>
    </row>
    <row r="16" spans="1:7" x14ac:dyDescent="0.3">
      <c r="A16" s="47" t="s">
        <v>144</v>
      </c>
      <c r="B16" s="52">
        <f>SUM(B13:B15)</f>
        <v>178769.06666666668</v>
      </c>
      <c r="C16" s="52">
        <f>SUM(C13:C15)</f>
        <v>227088</v>
      </c>
    </row>
    <row r="18" spans="1:7" ht="26.25" customHeight="1" x14ac:dyDescent="0.3">
      <c r="A18" s="13" t="s">
        <v>145</v>
      </c>
      <c r="B18" s="14"/>
      <c r="C18" s="14"/>
      <c r="D18" s="14"/>
      <c r="E18" s="14"/>
      <c r="F18" s="14"/>
      <c r="G18" s="14"/>
    </row>
    <row r="19" spans="1:7" ht="26.4" x14ac:dyDescent="0.3">
      <c r="A19" s="15" t="s">
        <v>11</v>
      </c>
      <c r="B19" s="15" t="s">
        <v>13</v>
      </c>
      <c r="C19" s="15" t="s">
        <v>146</v>
      </c>
      <c r="D19" s="15" t="s">
        <v>147</v>
      </c>
      <c r="E19" s="15" t="s">
        <v>148</v>
      </c>
    </row>
    <row r="20" spans="1:7" x14ac:dyDescent="0.3">
      <c r="A20" s="16" t="s">
        <v>149</v>
      </c>
      <c r="B20" s="45">
        <f>Assumptions!C5</f>
        <v>26000</v>
      </c>
      <c r="C20" s="53">
        <f>$B$16/B20</f>
        <v>6.8757333333333337</v>
      </c>
      <c r="D20" s="53">
        <f>$C$16/B20</f>
        <v>8.7341538461538466</v>
      </c>
      <c r="E20" s="46">
        <f>Assumptions!B5/$B$9</f>
        <v>9.6450617283950612E-3</v>
      </c>
    </row>
    <row r="21" spans="1:7" x14ac:dyDescent="0.3">
      <c r="A21" s="16" t="s">
        <v>150</v>
      </c>
      <c r="B21" s="45">
        <f>Assumptions!C6</f>
        <v>130000</v>
      </c>
      <c r="C21" s="53">
        <f>$B$16/B21</f>
        <v>1.3751466666666667</v>
      </c>
      <c r="D21" s="53">
        <f>$C$16/B21</f>
        <v>1.7468307692307692</v>
      </c>
      <c r="E21" s="46">
        <f>Assumptions!B6/$B$9</f>
        <v>4.8225308641975308E-2</v>
      </c>
    </row>
    <row r="22" spans="1:7" x14ac:dyDescent="0.3">
      <c r="A22" s="16" t="s">
        <v>151</v>
      </c>
      <c r="B22" s="45">
        <f>Assumptions!C7</f>
        <v>520000</v>
      </c>
      <c r="C22" s="53">
        <f>$B$16/B22</f>
        <v>0.34378666666666668</v>
      </c>
      <c r="D22" s="53">
        <f>$C$16/B22</f>
        <v>0.4367076923076923</v>
      </c>
      <c r="E22" s="46">
        <f>Assumptions!B7/$B$9</f>
        <v>0.19290123456790123</v>
      </c>
    </row>
  </sheetData>
  <mergeCells count="1">
    <mergeCell ref="B4:E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"/>
  <sheetViews>
    <sheetView zoomScaleNormal="100" workbookViewId="0"/>
  </sheetViews>
  <sheetFormatPr defaultColWidth="8.6640625" defaultRowHeight="14.4" x14ac:dyDescent="0.3"/>
  <cols>
    <col min="1" max="1" width="30" customWidth="1"/>
    <col min="2" max="3" width="14" customWidth="1"/>
    <col min="4" max="4" width="16" customWidth="1"/>
    <col min="5" max="5" width="60" customWidth="1"/>
  </cols>
  <sheetData>
    <row r="1" spans="1:5" ht="17.25" customHeight="1" x14ac:dyDescent="0.3">
      <c r="A1" s="9" t="s">
        <v>158</v>
      </c>
    </row>
    <row r="3" spans="1:5" x14ac:dyDescent="0.3">
      <c r="A3" s="47" t="s">
        <v>64</v>
      </c>
      <c r="B3" s="55">
        <f>Assumptions!B46</f>
        <v>6.5000000000000002E-2</v>
      </c>
    </row>
    <row r="5" spans="1:5" ht="26.25" customHeight="1" x14ac:dyDescent="0.3">
      <c r="A5" s="15" t="s">
        <v>11</v>
      </c>
      <c r="B5" s="15" t="s">
        <v>13</v>
      </c>
      <c r="C5" s="15" t="s">
        <v>159</v>
      </c>
      <c r="D5" s="15" t="s">
        <v>160</v>
      </c>
    </row>
    <row r="6" spans="1:5" x14ac:dyDescent="0.3">
      <c r="A6" s="16" t="s">
        <v>149</v>
      </c>
      <c r="B6" s="45">
        <f>Assumptions!C5</f>
        <v>26000</v>
      </c>
      <c r="C6" s="18">
        <f>B6*Assumptions!$B$14</f>
        <v>78000</v>
      </c>
      <c r="D6" s="50">
        <f>C6*$B$3</f>
        <v>5070</v>
      </c>
    </row>
    <row r="7" spans="1:5" x14ac:dyDescent="0.3">
      <c r="A7" s="16" t="s">
        <v>150</v>
      </c>
      <c r="B7" s="45">
        <f>Assumptions!C6</f>
        <v>130000</v>
      </c>
      <c r="C7" s="18">
        <f>B7*Assumptions!$B$14</f>
        <v>390000</v>
      </c>
      <c r="D7" s="50">
        <f>C7*$B$3</f>
        <v>25350</v>
      </c>
    </row>
    <row r="8" spans="1:5" x14ac:dyDescent="0.3">
      <c r="A8" s="16" t="s">
        <v>151</v>
      </c>
      <c r="B8" s="45">
        <f>Assumptions!C7</f>
        <v>520000</v>
      </c>
      <c r="C8" s="18">
        <f>B8*Assumptions!$B$14</f>
        <v>1560000</v>
      </c>
      <c r="D8" s="50">
        <f>C8*$B$3</f>
        <v>101400</v>
      </c>
    </row>
    <row r="10" spans="1:5" ht="26.25" customHeight="1" x14ac:dyDescent="0.3">
      <c r="A10" s="5" t="s">
        <v>161</v>
      </c>
      <c r="B10" s="5"/>
      <c r="C10" s="5"/>
      <c r="D10" s="5"/>
    </row>
    <row r="12" spans="1:5" ht="60" customHeight="1" x14ac:dyDescent="0.3">
      <c r="A12" s="56" t="s">
        <v>162</v>
      </c>
      <c r="B12" s="4" t="s">
        <v>163</v>
      </c>
      <c r="C12" s="4"/>
      <c r="D12" s="4"/>
      <c r="E12" s="4"/>
    </row>
  </sheetData>
  <mergeCells count="2">
    <mergeCell ref="A10:D10"/>
    <mergeCell ref="B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"/>
  <sheetViews>
    <sheetView zoomScaleNormal="100" workbookViewId="0"/>
  </sheetViews>
  <sheetFormatPr defaultColWidth="8.6640625" defaultRowHeight="14.4" x14ac:dyDescent="0.3"/>
  <cols>
    <col min="1" max="1" width="30" customWidth="1"/>
    <col min="2" max="3" width="14" customWidth="1"/>
    <col min="4" max="4" width="16" customWidth="1"/>
    <col min="5" max="5" width="60" customWidth="1"/>
  </cols>
  <sheetData>
    <row r="1" spans="1:5" ht="17.25" customHeight="1" x14ac:dyDescent="0.3">
      <c r="A1" s="9" t="s">
        <v>164</v>
      </c>
    </row>
    <row r="3" spans="1:5" x14ac:dyDescent="0.3">
      <c r="A3" s="47" t="s">
        <v>64</v>
      </c>
      <c r="B3" s="55">
        <f>Assumptions!B47</f>
        <v>0.03</v>
      </c>
    </row>
    <row r="5" spans="1:5" ht="26.25" customHeight="1" x14ac:dyDescent="0.3">
      <c r="A5" s="15" t="s">
        <v>11</v>
      </c>
      <c r="B5" s="15" t="s">
        <v>13</v>
      </c>
      <c r="C5" s="15" t="s">
        <v>159</v>
      </c>
      <c r="D5" s="15" t="s">
        <v>160</v>
      </c>
    </row>
    <row r="6" spans="1:5" x14ac:dyDescent="0.3">
      <c r="A6" s="16" t="s">
        <v>149</v>
      </c>
      <c r="B6" s="45">
        <f>Assumptions!C5</f>
        <v>26000</v>
      </c>
      <c r="C6" s="18">
        <f>B6*Assumptions!$B$14</f>
        <v>78000</v>
      </c>
      <c r="D6" s="50">
        <f>C6*$B$3</f>
        <v>2340</v>
      </c>
    </row>
    <row r="7" spans="1:5" x14ac:dyDescent="0.3">
      <c r="A7" s="16" t="s">
        <v>150</v>
      </c>
      <c r="B7" s="45">
        <f>Assumptions!C6</f>
        <v>130000</v>
      </c>
      <c r="C7" s="18">
        <f>B7*Assumptions!$B$14</f>
        <v>390000</v>
      </c>
      <c r="D7" s="50">
        <f>C7*$B$3</f>
        <v>11700</v>
      </c>
    </row>
    <row r="8" spans="1:5" x14ac:dyDescent="0.3">
      <c r="A8" s="16" t="s">
        <v>151</v>
      </c>
      <c r="B8" s="45">
        <f>Assumptions!C7</f>
        <v>520000</v>
      </c>
      <c r="C8" s="18">
        <f>B8*Assumptions!$B$14</f>
        <v>1560000</v>
      </c>
      <c r="D8" s="50">
        <f>C8*$B$3</f>
        <v>46800</v>
      </c>
    </row>
    <row r="10" spans="1:5" ht="26.25" customHeight="1" x14ac:dyDescent="0.3">
      <c r="A10" s="5" t="s">
        <v>161</v>
      </c>
      <c r="B10" s="5"/>
      <c r="C10" s="5"/>
      <c r="D10" s="5"/>
    </row>
    <row r="12" spans="1:5" ht="60" customHeight="1" x14ac:dyDescent="0.3">
      <c r="A12" s="56" t="s">
        <v>162</v>
      </c>
      <c r="B12" s="4" t="s">
        <v>165</v>
      </c>
      <c r="C12" s="4"/>
      <c r="D12" s="4"/>
      <c r="E12" s="4"/>
    </row>
  </sheetData>
  <mergeCells count="2">
    <mergeCell ref="A10:D10"/>
    <mergeCell ref="B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2"/>
  <sheetViews>
    <sheetView zoomScaleNormal="100" workbookViewId="0"/>
  </sheetViews>
  <sheetFormatPr defaultColWidth="8.6640625" defaultRowHeight="14.4" x14ac:dyDescent="0.3"/>
  <cols>
    <col min="1" max="1" width="30" customWidth="1"/>
    <col min="2" max="3" width="14" customWidth="1"/>
    <col min="4" max="4" width="16" customWidth="1"/>
    <col min="5" max="5" width="60" customWidth="1"/>
  </cols>
  <sheetData>
    <row r="1" spans="1:5" ht="17.25" customHeight="1" x14ac:dyDescent="0.3">
      <c r="A1" s="9" t="s">
        <v>166</v>
      </c>
    </row>
    <row r="3" spans="1:5" x14ac:dyDescent="0.3">
      <c r="A3" s="47" t="s">
        <v>64</v>
      </c>
      <c r="B3" s="55">
        <f>Assumptions!B48</f>
        <v>0.01</v>
      </c>
    </row>
    <row r="5" spans="1:5" ht="26.25" customHeight="1" x14ac:dyDescent="0.3">
      <c r="A5" s="15" t="s">
        <v>11</v>
      </c>
      <c r="B5" s="15" t="s">
        <v>13</v>
      </c>
      <c r="C5" s="15" t="s">
        <v>159</v>
      </c>
      <c r="D5" s="15" t="s">
        <v>160</v>
      </c>
    </row>
    <row r="6" spans="1:5" x14ac:dyDescent="0.3">
      <c r="A6" s="16" t="s">
        <v>149</v>
      </c>
      <c r="B6" s="45">
        <f>Assumptions!C5</f>
        <v>26000</v>
      </c>
      <c r="C6" s="18">
        <f>B6*Assumptions!$B$14</f>
        <v>78000</v>
      </c>
      <c r="D6" s="50">
        <f>C6*$B$3</f>
        <v>780</v>
      </c>
    </row>
    <row r="7" spans="1:5" x14ac:dyDescent="0.3">
      <c r="A7" s="16" t="s">
        <v>150</v>
      </c>
      <c r="B7" s="45">
        <f>Assumptions!C6</f>
        <v>130000</v>
      </c>
      <c r="C7" s="18">
        <f>B7*Assumptions!$B$14</f>
        <v>390000</v>
      </c>
      <c r="D7" s="50">
        <f>C7*$B$3</f>
        <v>3900</v>
      </c>
    </row>
    <row r="8" spans="1:5" x14ac:dyDescent="0.3">
      <c r="A8" s="16" t="s">
        <v>151</v>
      </c>
      <c r="B8" s="45">
        <f>Assumptions!C7</f>
        <v>520000</v>
      </c>
      <c r="C8" s="18">
        <f>B8*Assumptions!$B$14</f>
        <v>1560000</v>
      </c>
      <c r="D8" s="50">
        <f>C8*$B$3</f>
        <v>15600</v>
      </c>
    </row>
    <row r="10" spans="1:5" ht="26.25" customHeight="1" x14ac:dyDescent="0.3">
      <c r="A10" s="5" t="s">
        <v>161</v>
      </c>
      <c r="B10" s="5"/>
      <c r="C10" s="5"/>
      <c r="D10" s="5"/>
    </row>
    <row r="12" spans="1:5" ht="60" customHeight="1" x14ac:dyDescent="0.3">
      <c r="A12" s="56" t="s">
        <v>162</v>
      </c>
      <c r="B12" s="4" t="s">
        <v>167</v>
      </c>
      <c r="C12" s="4"/>
      <c r="D12" s="4"/>
      <c r="E12" s="4"/>
    </row>
  </sheetData>
  <mergeCells count="2">
    <mergeCell ref="A10:D10"/>
    <mergeCell ref="B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7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6" customWidth="1"/>
    <col min="3" max="3" width="18" customWidth="1"/>
    <col min="4" max="4" width="90" customWidth="1"/>
  </cols>
  <sheetData>
    <row r="1" spans="1:4" ht="17.25" customHeight="1" x14ac:dyDescent="0.3">
      <c r="A1" s="9" t="s">
        <v>168</v>
      </c>
    </row>
    <row r="2" spans="1:4" x14ac:dyDescent="0.3">
      <c r="A2" s="10" t="s">
        <v>169</v>
      </c>
    </row>
    <row r="4" spans="1:4" x14ac:dyDescent="0.3">
      <c r="A4" s="15" t="s">
        <v>170</v>
      </c>
      <c r="B4" s="15" t="s">
        <v>171</v>
      </c>
      <c r="C4" s="15" t="s">
        <v>172</v>
      </c>
      <c r="D4" s="15" t="s">
        <v>162</v>
      </c>
    </row>
    <row r="5" spans="1:4" ht="43.5" customHeight="1" x14ac:dyDescent="0.3">
      <c r="A5" s="12" t="s">
        <v>173</v>
      </c>
      <c r="B5" s="12" t="s">
        <v>174</v>
      </c>
      <c r="C5" s="12" t="s">
        <v>175</v>
      </c>
      <c r="D5" s="12" t="s">
        <v>176</v>
      </c>
    </row>
    <row r="6" spans="1:4" ht="43.5" customHeight="1" x14ac:dyDescent="0.3">
      <c r="A6" s="12" t="s">
        <v>177</v>
      </c>
      <c r="B6" s="12" t="s">
        <v>178</v>
      </c>
      <c r="C6" s="12" t="s">
        <v>175</v>
      </c>
      <c r="D6" s="12" t="s">
        <v>179</v>
      </c>
    </row>
    <row r="7" spans="1:4" ht="43.5" customHeight="1" x14ac:dyDescent="0.3">
      <c r="A7" s="12" t="s">
        <v>180</v>
      </c>
      <c r="B7" s="12" t="s">
        <v>181</v>
      </c>
      <c r="C7" s="12" t="s">
        <v>175</v>
      </c>
      <c r="D7" s="12" t="s">
        <v>182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5"/>
  <sheetViews>
    <sheetView zoomScaleNormal="100" workbookViewId="0">
      <selection activeCell="H11" sqref="H11"/>
    </sheetView>
  </sheetViews>
  <sheetFormatPr defaultColWidth="8.6640625" defaultRowHeight="14.4" x14ac:dyDescent="0.3"/>
  <cols>
    <col min="1" max="1" width="32" customWidth="1"/>
    <col min="2" max="2" width="28" customWidth="1"/>
    <col min="3" max="5" width="13" customWidth="1"/>
    <col min="6" max="6" width="12" customWidth="1"/>
    <col min="7" max="7" width="13" customWidth="1"/>
    <col min="8" max="8" width="54" customWidth="1"/>
  </cols>
  <sheetData>
    <row r="1" spans="1:8" ht="16.5" customHeight="1" x14ac:dyDescent="0.3">
      <c r="A1" s="30" t="s">
        <v>183</v>
      </c>
    </row>
    <row r="2" spans="1:8" ht="37.5" customHeight="1" x14ac:dyDescent="0.3">
      <c r="A2" s="8" t="s">
        <v>184</v>
      </c>
      <c r="B2" s="8"/>
      <c r="C2" s="8"/>
      <c r="D2" s="8"/>
      <c r="E2" s="8"/>
      <c r="F2" s="8"/>
      <c r="G2" s="8"/>
      <c r="H2" s="8"/>
    </row>
    <row r="4" spans="1:8" x14ac:dyDescent="0.3">
      <c r="A4" s="57" t="s">
        <v>185</v>
      </c>
      <c r="B4" s="14"/>
      <c r="C4" s="14"/>
      <c r="D4" s="14"/>
      <c r="E4" s="14"/>
      <c r="F4" s="14"/>
      <c r="G4" s="14"/>
      <c r="H4" s="14"/>
    </row>
    <row r="5" spans="1:8" ht="22.5" customHeight="1" x14ac:dyDescent="0.3">
      <c r="A5" s="32" t="s">
        <v>27</v>
      </c>
      <c r="B5" s="58">
        <f>Assumptions!B14</f>
        <v>3</v>
      </c>
      <c r="D5" s="32" t="s">
        <v>186</v>
      </c>
      <c r="E5" s="59">
        <v>5.4000000000000003E-3</v>
      </c>
      <c r="H5" s="27" t="s">
        <v>187</v>
      </c>
    </row>
    <row r="6" spans="1:8" ht="22.5" customHeight="1" x14ac:dyDescent="0.3">
      <c r="A6" s="32" t="s">
        <v>188</v>
      </c>
      <c r="B6" s="60">
        <f>Assumptions!C6</f>
        <v>130000</v>
      </c>
      <c r="D6" s="32" t="s">
        <v>189</v>
      </c>
      <c r="E6" s="61">
        <v>0.03</v>
      </c>
      <c r="H6" s="27" t="s">
        <v>190</v>
      </c>
    </row>
    <row r="7" spans="1:8" x14ac:dyDescent="0.3">
      <c r="A7" s="32" t="s">
        <v>191</v>
      </c>
      <c r="B7" s="62">
        <f>SelfHost_Llama_70B!B16</f>
        <v>11586.466666666665</v>
      </c>
      <c r="D7" s="32" t="s">
        <v>192</v>
      </c>
      <c r="E7" s="63">
        <v>0.01</v>
      </c>
      <c r="F7" s="63">
        <v>0.03</v>
      </c>
      <c r="G7" s="63">
        <v>6.5000000000000002E-2</v>
      </c>
    </row>
    <row r="9" spans="1:8" x14ac:dyDescent="0.3">
      <c r="A9" s="57" t="s">
        <v>193</v>
      </c>
      <c r="B9" s="14"/>
      <c r="C9" s="14"/>
      <c r="D9" s="14"/>
      <c r="E9" s="14"/>
      <c r="F9" s="14"/>
      <c r="G9" s="14"/>
      <c r="H9" s="14"/>
    </row>
    <row r="10" spans="1:8" ht="26.25" customHeight="1" x14ac:dyDescent="0.3">
      <c r="A10" s="34" t="s">
        <v>194</v>
      </c>
      <c r="B10" s="34" t="s">
        <v>195</v>
      </c>
      <c r="C10" s="34" t="s">
        <v>196</v>
      </c>
      <c r="D10" s="34" t="s">
        <v>197</v>
      </c>
      <c r="E10" s="34" t="s">
        <v>198</v>
      </c>
      <c r="F10" s="34" t="s">
        <v>199</v>
      </c>
      <c r="G10" s="34" t="s">
        <v>200</v>
      </c>
      <c r="H10" s="34" t="s">
        <v>201</v>
      </c>
    </row>
    <row r="11" spans="1:8" ht="48" customHeight="1" x14ac:dyDescent="0.3">
      <c r="A11" s="64" t="s">
        <v>202</v>
      </c>
      <c r="B11" s="65" t="s">
        <v>203</v>
      </c>
      <c r="C11" s="66">
        <f>$E$7*$B$5</f>
        <v>0.03</v>
      </c>
      <c r="D11" s="66">
        <f>$E$5</f>
        <v>5.4000000000000003E-3</v>
      </c>
      <c r="E11" s="67">
        <f>C11+D11</f>
        <v>3.5400000000000001E-2</v>
      </c>
      <c r="F11" s="68">
        <v>0.86</v>
      </c>
      <c r="G11" s="43">
        <f>E11*$B$6</f>
        <v>4602</v>
      </c>
      <c r="H11" s="27" t="s">
        <v>204</v>
      </c>
    </row>
    <row r="12" spans="1:8" ht="48" customHeight="1" x14ac:dyDescent="0.3">
      <c r="A12" s="69" t="s">
        <v>205</v>
      </c>
      <c r="B12" s="65" t="s">
        <v>206</v>
      </c>
      <c r="C12" s="66">
        <f>$F$7*$B$5</f>
        <v>0.09</v>
      </c>
      <c r="D12" s="66">
        <f>$E$6</f>
        <v>0.03</v>
      </c>
      <c r="E12" s="70">
        <f>C12+D12</f>
        <v>0.12</v>
      </c>
      <c r="F12" s="68">
        <v>0.86</v>
      </c>
      <c r="G12" s="39">
        <f>E12*$B$6</f>
        <v>15600</v>
      </c>
      <c r="H12" s="27" t="s">
        <v>207</v>
      </c>
    </row>
    <row r="13" spans="1:8" ht="48" customHeight="1" x14ac:dyDescent="0.3">
      <c r="A13" s="71" t="s">
        <v>208</v>
      </c>
      <c r="B13" s="65" t="s">
        <v>209</v>
      </c>
      <c r="C13" s="66">
        <f>$F$7*$B$5</f>
        <v>0.09</v>
      </c>
      <c r="D13" s="59">
        <v>0</v>
      </c>
      <c r="E13" s="72">
        <f>C13+D13</f>
        <v>0.09</v>
      </c>
      <c r="F13" s="68">
        <v>0.6</v>
      </c>
      <c r="G13" s="73">
        <f>E13*$B$6</f>
        <v>11700</v>
      </c>
      <c r="H13" s="27" t="s">
        <v>210</v>
      </c>
    </row>
    <row r="14" spans="1:8" ht="48" customHeight="1" x14ac:dyDescent="0.3">
      <c r="A14" s="69" t="s">
        <v>211</v>
      </c>
      <c r="B14" s="65" t="s">
        <v>212</v>
      </c>
      <c r="C14" s="59">
        <v>0</v>
      </c>
      <c r="D14" s="66">
        <f>$B$7/$B$6</f>
        <v>8.912666666666666E-2</v>
      </c>
      <c r="E14" s="70">
        <f>C14+D14</f>
        <v>8.912666666666666E-2</v>
      </c>
      <c r="F14" s="68">
        <v>0.86</v>
      </c>
      <c r="G14" s="39">
        <f>E14*$B$6</f>
        <v>11586.466666666665</v>
      </c>
      <c r="H14" s="27" t="s">
        <v>213</v>
      </c>
    </row>
    <row r="15" spans="1:8" ht="48" customHeight="1" x14ac:dyDescent="0.3">
      <c r="A15" s="71" t="s">
        <v>214</v>
      </c>
      <c r="B15" s="65" t="s">
        <v>215</v>
      </c>
      <c r="C15" s="66">
        <f>$E$7*$B$5</f>
        <v>0.03</v>
      </c>
      <c r="D15" s="59">
        <v>0</v>
      </c>
      <c r="E15" s="72">
        <f>C15+D15</f>
        <v>0.03</v>
      </c>
      <c r="F15" s="74">
        <v>0.23899999999999999</v>
      </c>
      <c r="G15" s="73">
        <f>E15*$B$6</f>
        <v>3900</v>
      </c>
      <c r="H15" s="27" t="s">
        <v>216</v>
      </c>
    </row>
    <row r="17" spans="1:8" x14ac:dyDescent="0.3">
      <c r="A17" s="57" t="s">
        <v>217</v>
      </c>
      <c r="B17" s="14"/>
      <c r="C17" s="14"/>
      <c r="D17" s="14"/>
      <c r="E17" s="14"/>
      <c r="F17" s="14"/>
      <c r="G17" s="14"/>
      <c r="H17" s="14"/>
    </row>
    <row r="18" spans="1:8" ht="109.5" customHeight="1" x14ac:dyDescent="0.3">
      <c r="A18" s="75" t="s">
        <v>218</v>
      </c>
      <c r="B18" s="3" t="s">
        <v>219</v>
      </c>
      <c r="C18" s="3"/>
      <c r="D18" s="3"/>
      <c r="E18" s="3"/>
      <c r="F18" s="3"/>
      <c r="G18" s="3"/>
      <c r="H18" s="3"/>
    </row>
    <row r="20" spans="1:8" x14ac:dyDescent="0.3">
      <c r="A20" s="57" t="s">
        <v>220</v>
      </c>
      <c r="B20" s="14"/>
      <c r="C20" s="14"/>
      <c r="D20" s="14"/>
      <c r="E20" s="14"/>
      <c r="F20" s="14"/>
      <c r="G20" s="14"/>
      <c r="H20" s="14"/>
    </row>
    <row r="21" spans="1:8" x14ac:dyDescent="0.3">
      <c r="A21" s="34" t="s">
        <v>221</v>
      </c>
      <c r="B21" s="34" t="s">
        <v>222</v>
      </c>
      <c r="C21" s="34" t="s">
        <v>223</v>
      </c>
      <c r="D21" s="34"/>
      <c r="E21" s="34"/>
      <c r="F21" s="34"/>
      <c r="G21" s="34"/>
      <c r="H21" s="34" t="s">
        <v>224</v>
      </c>
    </row>
    <row r="22" spans="1:8" ht="45.75" customHeight="1" x14ac:dyDescent="0.3">
      <c r="A22" s="69" t="s">
        <v>225</v>
      </c>
      <c r="B22" s="65" t="s">
        <v>226</v>
      </c>
      <c r="C22" s="2" t="s">
        <v>227</v>
      </c>
      <c r="D22" s="2"/>
      <c r="E22" s="2"/>
      <c r="F22" s="2"/>
      <c r="G22" s="2"/>
      <c r="H22" s="27" t="s">
        <v>228</v>
      </c>
    </row>
    <row r="23" spans="1:8" ht="45.75" customHeight="1" x14ac:dyDescent="0.3">
      <c r="A23" s="69" t="s">
        <v>229</v>
      </c>
      <c r="B23" s="65" t="s">
        <v>230</v>
      </c>
      <c r="C23" s="2" t="s">
        <v>231</v>
      </c>
      <c r="D23" s="2"/>
      <c r="E23" s="2"/>
      <c r="F23" s="2"/>
      <c r="G23" s="2"/>
      <c r="H23" s="27" t="s">
        <v>232</v>
      </c>
    </row>
    <row r="25" spans="1:8" ht="51.75" customHeight="1" x14ac:dyDescent="0.3">
      <c r="A25" s="8" t="s">
        <v>233</v>
      </c>
      <c r="B25" s="8"/>
      <c r="C25" s="8"/>
      <c r="D25" s="8"/>
      <c r="E25" s="8"/>
      <c r="F25" s="8"/>
      <c r="G25" s="8"/>
      <c r="H25" s="8"/>
    </row>
  </sheetData>
  <mergeCells count="5">
    <mergeCell ref="A2:H2"/>
    <mergeCell ref="B18:H18"/>
    <mergeCell ref="C22:G22"/>
    <mergeCell ref="C23:G23"/>
    <mergeCell ref="A25:H25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4"/>
  <sheetViews>
    <sheetView zoomScaleNormal="100" workbookViewId="0">
      <selection activeCell="C22" sqref="C22"/>
    </sheetView>
  </sheetViews>
  <sheetFormatPr defaultColWidth="8.6640625" defaultRowHeight="14.4" x14ac:dyDescent="0.3"/>
  <cols>
    <col min="1" max="1" width="42" customWidth="1"/>
    <col min="2" max="4" width="16" customWidth="1"/>
    <col min="5" max="5" width="14" customWidth="1"/>
    <col min="6" max="6" width="40" customWidth="1"/>
  </cols>
  <sheetData>
    <row r="1" spans="1:6" ht="17.25" customHeight="1" x14ac:dyDescent="0.3">
      <c r="A1" s="9" t="s">
        <v>234</v>
      </c>
    </row>
    <row r="2" spans="1:6" x14ac:dyDescent="0.3">
      <c r="A2" s="10" t="s">
        <v>235</v>
      </c>
    </row>
    <row r="4" spans="1:6" ht="26.25" customHeight="1" x14ac:dyDescent="0.3">
      <c r="A4" s="15" t="s">
        <v>170</v>
      </c>
      <c r="B4" s="15" t="s">
        <v>236</v>
      </c>
      <c r="C4" s="15" t="s">
        <v>237</v>
      </c>
      <c r="D4" s="15" t="s">
        <v>238</v>
      </c>
      <c r="E4" s="15" t="s">
        <v>239</v>
      </c>
      <c r="F4" s="15" t="s">
        <v>240</v>
      </c>
    </row>
    <row r="5" spans="1:6" x14ac:dyDescent="0.3">
      <c r="A5" s="16" t="s">
        <v>241</v>
      </c>
      <c r="B5" s="48">
        <f>SelfHost_Llama_8B!$B$16</f>
        <v>4459.8999999999996</v>
      </c>
      <c r="C5" s="48">
        <f>SelfHost_Llama_8B!$B$16</f>
        <v>4459.8999999999996</v>
      </c>
      <c r="D5" s="48">
        <f>SelfHost_Llama_8B!$B$16</f>
        <v>4459.8999999999996</v>
      </c>
      <c r="E5" s="76">
        <f>C5/MIN($C$5:$C$9)</f>
        <v>1</v>
      </c>
      <c r="F5" s="51" t="s">
        <v>242</v>
      </c>
    </row>
    <row r="6" spans="1:6" x14ac:dyDescent="0.3">
      <c r="A6" s="16" t="s">
        <v>243</v>
      </c>
      <c r="B6" s="48">
        <f>SelfHost_Mistral_24B!$B$16</f>
        <v>11586.466666666665</v>
      </c>
      <c r="C6" s="48">
        <f>SelfHost_Mistral_24B!$B$16</f>
        <v>11586.466666666665</v>
      </c>
      <c r="D6" s="48">
        <f>SelfHost_Mistral_24B!$B$16</f>
        <v>11586.466666666665</v>
      </c>
      <c r="E6" s="76">
        <f>C6/MIN($C$5:$C$9)</f>
        <v>2.597920730659133</v>
      </c>
      <c r="F6" s="51" t="s">
        <v>242</v>
      </c>
    </row>
    <row r="7" spans="1:6" x14ac:dyDescent="0.3">
      <c r="A7" s="16" t="s">
        <v>244</v>
      </c>
      <c r="B7" s="48">
        <f>SelfHost_Llama_70B!$B$16</f>
        <v>11586.466666666665</v>
      </c>
      <c r="C7" s="48">
        <f>SelfHost_Llama_70B!$B$16</f>
        <v>11586.466666666665</v>
      </c>
      <c r="D7" s="48">
        <f>SelfHost_Llama_70B!$B$16</f>
        <v>11586.466666666665</v>
      </c>
      <c r="E7" s="76">
        <f>C7/MIN($C$5:$C$9)</f>
        <v>2.597920730659133</v>
      </c>
      <c r="F7" s="51" t="s">
        <v>242</v>
      </c>
    </row>
    <row r="8" spans="1:6" x14ac:dyDescent="0.3">
      <c r="A8" s="16" t="s">
        <v>245</v>
      </c>
      <c r="B8" s="48">
        <f>SelfHost_Llama_70B!$C$16</f>
        <v>24090</v>
      </c>
      <c r="C8" s="48">
        <f>SelfHost_Llama_70B!$C$16</f>
        <v>24090</v>
      </c>
      <c r="D8" s="48">
        <f>SelfHost_Llama_70B!$C$16</f>
        <v>24090</v>
      </c>
      <c r="E8" s="76">
        <f>C8/MIN($C$5:$C$9)</f>
        <v>5.4014664005919419</v>
      </c>
      <c r="F8" s="51" t="s">
        <v>242</v>
      </c>
    </row>
    <row r="9" spans="1:6" x14ac:dyDescent="0.3">
      <c r="A9" s="16" t="s">
        <v>246</v>
      </c>
      <c r="B9" s="48">
        <f>Cohere_Private!$B$16</f>
        <v>178769.06666666668</v>
      </c>
      <c r="C9" s="48">
        <f>Cohere_Private!$B$16</f>
        <v>178769.06666666668</v>
      </c>
      <c r="D9" s="48">
        <f>Cohere_Private!$B$16</f>
        <v>178769.06666666668</v>
      </c>
      <c r="E9" s="76">
        <f>C9/MIN($C$5:$C$9)</f>
        <v>40.08364911021922</v>
      </c>
      <c r="F9" s="51" t="s">
        <v>247</v>
      </c>
    </row>
    <row r="11" spans="1:6" x14ac:dyDescent="0.3">
      <c r="A11" s="47" t="s">
        <v>248</v>
      </c>
    </row>
    <row r="12" spans="1:6" x14ac:dyDescent="0.3">
      <c r="A12" s="16" t="s">
        <v>249</v>
      </c>
      <c r="B12" s="48">
        <f>OCR_AWS_Textract!D6</f>
        <v>5070</v>
      </c>
      <c r="C12" s="48">
        <f>OCR_AWS_Textract!D7</f>
        <v>25350</v>
      </c>
      <c r="D12" s="48">
        <f>OCR_AWS_Textract!D8</f>
        <v>101400</v>
      </c>
    </row>
    <row r="13" spans="1:6" x14ac:dyDescent="0.3">
      <c r="A13" s="16" t="s">
        <v>250</v>
      </c>
      <c r="B13" s="48">
        <f>OCR_GCP_DocAI!D6</f>
        <v>2340</v>
      </c>
      <c r="C13" s="48">
        <f>OCR_GCP_DocAI!D7</f>
        <v>11700</v>
      </c>
      <c r="D13" s="48">
        <f>OCR_GCP_DocAI!D8</f>
        <v>46800</v>
      </c>
    </row>
    <row r="14" spans="1:6" x14ac:dyDescent="0.3">
      <c r="A14" s="16" t="s">
        <v>251</v>
      </c>
      <c r="B14" s="48">
        <f>OCR_Azure_DI!D6</f>
        <v>780</v>
      </c>
      <c r="C14" s="48">
        <f>OCR_Azure_DI!D7</f>
        <v>3900</v>
      </c>
      <c r="D14" s="48">
        <f>OCR_Azure_DI!D8</f>
        <v>15600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0"/>
  <sheetViews>
    <sheetView zoomScaleNormal="100" workbookViewId="0">
      <selection activeCell="A10" sqref="A10:F10"/>
    </sheetView>
  </sheetViews>
  <sheetFormatPr defaultColWidth="8.6640625" defaultRowHeight="14.4" x14ac:dyDescent="0.3"/>
  <cols>
    <col min="1" max="1" width="40" customWidth="1"/>
    <col min="2" max="3" width="12" customWidth="1"/>
    <col min="4" max="5" width="14" customWidth="1"/>
    <col min="6" max="6" width="50" customWidth="1"/>
  </cols>
  <sheetData>
    <row r="1" spans="1:6" ht="17.25" customHeight="1" x14ac:dyDescent="0.3">
      <c r="A1" s="9" t="s">
        <v>252</v>
      </c>
    </row>
    <row r="2" spans="1:6" x14ac:dyDescent="0.3">
      <c r="A2" s="10" t="s">
        <v>253</v>
      </c>
    </row>
    <row r="4" spans="1:6" ht="26.25" customHeight="1" x14ac:dyDescent="0.3">
      <c r="A4" s="15" t="s">
        <v>254</v>
      </c>
      <c r="B4" s="15" t="s">
        <v>255</v>
      </c>
      <c r="C4" s="15" t="s">
        <v>256</v>
      </c>
      <c r="D4" s="15" t="s">
        <v>257</v>
      </c>
      <c r="E4" s="15" t="s">
        <v>258</v>
      </c>
      <c r="F4" s="15" t="s">
        <v>259</v>
      </c>
    </row>
    <row r="5" spans="1:6" x14ac:dyDescent="0.3">
      <c r="A5" s="16" t="s">
        <v>260</v>
      </c>
      <c r="B5" s="16" t="s">
        <v>261</v>
      </c>
      <c r="C5" s="16" t="s">
        <v>261</v>
      </c>
      <c r="D5" s="77">
        <f>Assumptions!B51</f>
        <v>0.23899999999999999</v>
      </c>
      <c r="E5" s="77">
        <f>Assumptions!B52</f>
        <v>0.317</v>
      </c>
      <c r="F5" s="19" t="s">
        <v>262</v>
      </c>
    </row>
    <row r="6" spans="1:6" x14ac:dyDescent="0.3">
      <c r="A6" s="16" t="s">
        <v>263</v>
      </c>
      <c r="B6" s="78">
        <v>0.66</v>
      </c>
      <c r="C6" s="78">
        <v>0.75</v>
      </c>
      <c r="D6" s="79"/>
      <c r="E6" s="79"/>
      <c r="F6" s="19" t="s">
        <v>264</v>
      </c>
    </row>
    <row r="7" spans="1:6" x14ac:dyDescent="0.3">
      <c r="A7" s="16" t="s">
        <v>265</v>
      </c>
      <c r="B7" s="78">
        <v>0.86</v>
      </c>
      <c r="C7" s="78">
        <v>0.91</v>
      </c>
      <c r="D7" s="79"/>
      <c r="E7" s="79"/>
      <c r="F7" s="19" t="s">
        <v>266</v>
      </c>
    </row>
    <row r="8" spans="1:6" x14ac:dyDescent="0.3">
      <c r="A8" s="16" t="s">
        <v>267</v>
      </c>
      <c r="B8" s="78">
        <v>0.86</v>
      </c>
      <c r="C8" s="78">
        <v>0.91</v>
      </c>
      <c r="D8" s="79"/>
      <c r="E8" s="79"/>
      <c r="F8" s="19" t="s">
        <v>266</v>
      </c>
    </row>
    <row r="10" spans="1:6" ht="43.5" customHeight="1" x14ac:dyDescent="0.3">
      <c r="A10" s="7" t="s">
        <v>268</v>
      </c>
      <c r="B10" s="7"/>
      <c r="C10" s="7"/>
      <c r="D10" s="7"/>
      <c r="E10" s="7"/>
      <c r="F10" s="7"/>
    </row>
  </sheetData>
  <mergeCells count="1"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1"/>
  <sheetViews>
    <sheetView zoomScaleNormal="100" workbookViewId="0">
      <selection activeCell="A21" sqref="A21:C21"/>
    </sheetView>
  </sheetViews>
  <sheetFormatPr defaultColWidth="8.6640625" defaultRowHeight="14.4" x14ac:dyDescent="0.3"/>
  <cols>
    <col min="1" max="3" width="34" customWidth="1"/>
  </cols>
  <sheetData>
    <row r="1" spans="1:3" ht="17.25" customHeight="1" x14ac:dyDescent="0.3">
      <c r="A1" s="9" t="s">
        <v>269</v>
      </c>
    </row>
    <row r="2" spans="1:3" x14ac:dyDescent="0.3">
      <c r="A2" s="10" t="s">
        <v>270</v>
      </c>
    </row>
    <row r="4" spans="1:3" x14ac:dyDescent="0.3">
      <c r="A4" s="15" t="s">
        <v>271</v>
      </c>
      <c r="B4" s="15" t="s">
        <v>272</v>
      </c>
      <c r="C4" s="15" t="s">
        <v>273</v>
      </c>
    </row>
    <row r="5" spans="1:3" x14ac:dyDescent="0.3">
      <c r="A5" s="11" t="s">
        <v>274</v>
      </c>
      <c r="B5" s="80" t="s">
        <v>275</v>
      </c>
      <c r="C5" s="81" t="s">
        <v>276</v>
      </c>
    </row>
    <row r="6" spans="1:3" x14ac:dyDescent="0.3">
      <c r="A6" s="11" t="s">
        <v>277</v>
      </c>
      <c r="B6" s="80" t="s">
        <v>278</v>
      </c>
      <c r="C6" s="81" t="s">
        <v>279</v>
      </c>
    </row>
    <row r="7" spans="1:3" ht="26.25" customHeight="1" x14ac:dyDescent="0.3">
      <c r="A7" s="11" t="s">
        <v>280</v>
      </c>
      <c r="B7" s="80" t="s">
        <v>281</v>
      </c>
      <c r="C7" s="82" t="s">
        <v>282</v>
      </c>
    </row>
    <row r="8" spans="1:3" x14ac:dyDescent="0.3">
      <c r="A8" s="69" t="s">
        <v>283</v>
      </c>
      <c r="B8" s="80" t="s">
        <v>284</v>
      </c>
      <c r="C8" s="81" t="s">
        <v>285</v>
      </c>
    </row>
    <row r="9" spans="1:3" ht="26.25" customHeight="1" x14ac:dyDescent="0.3">
      <c r="A9" s="11" t="s">
        <v>286</v>
      </c>
      <c r="B9" s="80" t="s">
        <v>287</v>
      </c>
      <c r="C9" s="82" t="s">
        <v>288</v>
      </c>
    </row>
    <row r="10" spans="1:3" x14ac:dyDescent="0.3">
      <c r="A10" s="11" t="s">
        <v>289</v>
      </c>
      <c r="B10" s="80" t="s">
        <v>290</v>
      </c>
      <c r="C10" s="81" t="s">
        <v>291</v>
      </c>
    </row>
    <row r="12" spans="1:3" x14ac:dyDescent="0.3">
      <c r="A12" s="13" t="s">
        <v>292</v>
      </c>
      <c r="B12" s="14"/>
      <c r="C12" s="14"/>
    </row>
    <row r="13" spans="1:3" ht="15" customHeight="1" x14ac:dyDescent="0.3">
      <c r="A13" s="4" t="s">
        <v>293</v>
      </c>
      <c r="B13" s="4"/>
      <c r="C13" s="4"/>
    </row>
    <row r="14" spans="1:3" ht="15" customHeight="1" x14ac:dyDescent="0.3">
      <c r="A14" s="4" t="s">
        <v>294</v>
      </c>
      <c r="B14" s="4"/>
      <c r="C14" s="4"/>
    </row>
    <row r="15" spans="1:3" ht="15" customHeight="1" x14ac:dyDescent="0.3">
      <c r="A15" s="4" t="s">
        <v>295</v>
      </c>
      <c r="B15" s="4"/>
      <c r="C15" s="4"/>
    </row>
    <row r="16" spans="1:3" ht="15" customHeight="1" x14ac:dyDescent="0.3">
      <c r="A16" s="4" t="s">
        <v>296</v>
      </c>
      <c r="B16" s="4"/>
      <c r="C16" s="4"/>
    </row>
    <row r="17" spans="1:3" ht="15" customHeight="1" x14ac:dyDescent="0.3">
      <c r="A17" s="4" t="s">
        <v>297</v>
      </c>
      <c r="B17" s="4"/>
      <c r="C17" s="4"/>
    </row>
    <row r="19" spans="1:3" ht="43.5" customHeight="1" x14ac:dyDescent="0.3">
      <c r="A19" s="5" t="s">
        <v>298</v>
      </c>
      <c r="B19" s="5"/>
      <c r="C19" s="5"/>
    </row>
    <row r="21" spans="1:3" ht="31.5" customHeight="1" x14ac:dyDescent="0.3">
      <c r="A21" s="7"/>
      <c r="B21" s="7"/>
      <c r="C21" s="7"/>
    </row>
  </sheetData>
  <mergeCells count="7">
    <mergeCell ref="A19:C19"/>
    <mergeCell ref="A21:C21"/>
    <mergeCell ref="A13:C13"/>
    <mergeCell ref="A14:C14"/>
    <mergeCell ref="A15:C15"/>
    <mergeCell ref="A16:C16"/>
    <mergeCell ref="A17:C17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5"/>
  <sheetViews>
    <sheetView zoomScaleNormal="100" workbookViewId="0">
      <selection activeCell="E4" sqref="E4"/>
    </sheetView>
  </sheetViews>
  <sheetFormatPr defaultColWidth="8.6640625" defaultRowHeight="14.4" x14ac:dyDescent="0.3"/>
  <cols>
    <col min="1" max="1" width="26" customWidth="1"/>
    <col min="2" max="2" width="10" customWidth="1"/>
    <col min="3" max="8" width="15" customWidth="1"/>
  </cols>
  <sheetData>
    <row r="1" spans="1:8" ht="17.25" customHeight="1" x14ac:dyDescent="0.3">
      <c r="A1" s="9" t="s">
        <v>299</v>
      </c>
    </row>
    <row r="3" spans="1:8" ht="26.25" customHeight="1" x14ac:dyDescent="0.3">
      <c r="A3" s="15" t="s">
        <v>300</v>
      </c>
      <c r="B3" s="15" t="s">
        <v>301</v>
      </c>
      <c r="C3" s="15" t="s">
        <v>302</v>
      </c>
      <c r="D3" s="15" t="s">
        <v>303</v>
      </c>
      <c r="E3" s="15" t="s">
        <v>304</v>
      </c>
      <c r="F3" s="15" t="s">
        <v>305</v>
      </c>
    </row>
    <row r="4" spans="1:8" x14ac:dyDescent="0.3">
      <c r="A4" s="16" t="s">
        <v>306</v>
      </c>
      <c r="B4" s="21">
        <v>0.25</v>
      </c>
      <c r="C4" s="83">
        <v>1</v>
      </c>
      <c r="D4" s="83">
        <v>2</v>
      </c>
      <c r="E4" s="83">
        <v>4</v>
      </c>
      <c r="F4" s="83">
        <v>4</v>
      </c>
    </row>
    <row r="5" spans="1:8" x14ac:dyDescent="0.3">
      <c r="A5" s="16" t="s">
        <v>307</v>
      </c>
      <c r="B5" s="21">
        <v>0.15</v>
      </c>
      <c r="C5" s="83">
        <v>5</v>
      </c>
      <c r="D5" s="83">
        <v>2</v>
      </c>
      <c r="E5" s="83">
        <v>2</v>
      </c>
      <c r="F5" s="83">
        <v>1</v>
      </c>
    </row>
    <row r="6" spans="1:8" x14ac:dyDescent="0.3">
      <c r="A6" s="16" t="s">
        <v>308</v>
      </c>
      <c r="B6" s="21">
        <v>0.1</v>
      </c>
      <c r="C6" s="83">
        <v>5</v>
      </c>
      <c r="D6" s="83">
        <v>3</v>
      </c>
      <c r="E6" s="83">
        <v>3</v>
      </c>
      <c r="F6" s="83">
        <v>1</v>
      </c>
    </row>
    <row r="7" spans="1:8" x14ac:dyDescent="0.3">
      <c r="A7" s="16" t="s">
        <v>309</v>
      </c>
      <c r="B7" s="21">
        <v>0.1</v>
      </c>
      <c r="C7" s="83">
        <v>5</v>
      </c>
      <c r="D7" s="83">
        <v>4</v>
      </c>
      <c r="E7" s="83">
        <v>4</v>
      </c>
      <c r="F7" s="83">
        <v>4</v>
      </c>
    </row>
    <row r="8" spans="1:8" x14ac:dyDescent="0.3">
      <c r="A8" s="16" t="s">
        <v>310</v>
      </c>
      <c r="B8" s="21">
        <v>0.2</v>
      </c>
      <c r="C8" s="83">
        <v>5</v>
      </c>
      <c r="D8" s="83">
        <v>5</v>
      </c>
      <c r="E8" s="83">
        <v>5</v>
      </c>
      <c r="F8" s="83">
        <v>5</v>
      </c>
    </row>
    <row r="9" spans="1:8" x14ac:dyDescent="0.3">
      <c r="A9" s="16" t="s">
        <v>311</v>
      </c>
      <c r="B9" s="21">
        <v>0.1</v>
      </c>
      <c r="C9" s="83">
        <v>2</v>
      </c>
      <c r="D9" s="83">
        <v>2</v>
      </c>
      <c r="E9" s="83">
        <v>2</v>
      </c>
      <c r="F9" s="83">
        <v>3</v>
      </c>
    </row>
    <row r="10" spans="1:8" x14ac:dyDescent="0.3">
      <c r="A10" s="16" t="s">
        <v>312</v>
      </c>
      <c r="B10" s="21">
        <v>0.1</v>
      </c>
      <c r="C10" s="83">
        <v>4</v>
      </c>
      <c r="D10" s="83">
        <v>2</v>
      </c>
      <c r="E10" s="83">
        <v>2</v>
      </c>
      <c r="F10" s="83">
        <v>3</v>
      </c>
    </row>
    <row r="11" spans="1:8" x14ac:dyDescent="0.3">
      <c r="A11" s="51" t="s">
        <v>313</v>
      </c>
      <c r="B11" s="46">
        <f>SUM(B4:B10)</f>
        <v>1</v>
      </c>
    </row>
    <row r="12" spans="1:8" x14ac:dyDescent="0.3">
      <c r="A12" s="47" t="s">
        <v>314</v>
      </c>
      <c r="B12" s="84"/>
      <c r="C12" s="85">
        <f>SUMPRODUCT($B$4:$B$10,C4:C10)</f>
        <v>3.6</v>
      </c>
      <c r="D12" s="85">
        <f>SUMPRODUCT($B$4:$B$10,D4:D10)</f>
        <v>2.9000000000000004</v>
      </c>
      <c r="E12" s="85">
        <f>SUMPRODUCT($B$4:$B$10,E4:E10)</f>
        <v>3.4000000000000004</v>
      </c>
      <c r="F12" s="85">
        <f>SUMPRODUCT($B$4:$B$10,F4:F10)</f>
        <v>3.25</v>
      </c>
    </row>
    <row r="13" spans="1:8" x14ac:dyDescent="0.3">
      <c r="A13" s="51" t="s">
        <v>315</v>
      </c>
      <c r="C13" s="86">
        <f>RANK(C12,$C$12:$F$12)</f>
        <v>1</v>
      </c>
      <c r="D13" s="86">
        <f>RANK(D12,$C$12:$F$12)</f>
        <v>4</v>
      </c>
      <c r="E13" s="86">
        <f>RANK(E12,$C$12:$F$12)</f>
        <v>2</v>
      </c>
      <c r="F13" s="86">
        <f>RANK(F12,$C$12:$F$12)</f>
        <v>3</v>
      </c>
    </row>
    <row r="15" spans="1:8" ht="57.75" customHeight="1" x14ac:dyDescent="0.3">
      <c r="A15" s="1"/>
      <c r="B15" s="1"/>
      <c r="C15" s="1"/>
      <c r="D15" s="1"/>
      <c r="E15" s="1"/>
      <c r="F15" s="1"/>
      <c r="G15" s="1"/>
      <c r="H15" s="1"/>
    </row>
  </sheetData>
  <mergeCells count="1">
    <mergeCell ref="A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6"/>
  <sheetViews>
    <sheetView zoomScaleNormal="100" workbookViewId="0">
      <selection activeCell="B3" sqref="B3"/>
    </sheetView>
  </sheetViews>
  <sheetFormatPr defaultColWidth="8.6640625" defaultRowHeight="14.4" x14ac:dyDescent="0.3"/>
  <cols>
    <col min="1" max="1" width="26" customWidth="1"/>
    <col min="2" max="2" width="105" customWidth="1"/>
  </cols>
  <sheetData>
    <row r="1" spans="1:2" ht="17.25" customHeight="1" x14ac:dyDescent="0.3">
      <c r="A1" s="9" t="s">
        <v>316</v>
      </c>
    </row>
    <row r="3" spans="1:2" ht="130.5" customHeight="1" x14ac:dyDescent="0.3">
      <c r="A3" s="69" t="s">
        <v>317</v>
      </c>
      <c r="B3" s="87" t="s">
        <v>318</v>
      </c>
    </row>
    <row r="4" spans="1:2" ht="78" customHeight="1" x14ac:dyDescent="0.3">
      <c r="A4" s="88" t="s">
        <v>319</v>
      </c>
      <c r="B4" s="88" t="s">
        <v>320</v>
      </c>
    </row>
    <row r="5" spans="1:2" ht="78" customHeight="1" x14ac:dyDescent="0.3">
      <c r="A5" s="11" t="s">
        <v>321</v>
      </c>
      <c r="B5" s="12" t="s">
        <v>322</v>
      </c>
    </row>
    <row r="6" spans="1:2" ht="78" customHeight="1" x14ac:dyDescent="0.3">
      <c r="A6" s="11" t="s">
        <v>323</v>
      </c>
      <c r="B6" s="87" t="s">
        <v>324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4"/>
  <sheetViews>
    <sheetView zoomScaleNormal="100" workbookViewId="0">
      <selection activeCell="A14" sqref="A14"/>
    </sheetView>
  </sheetViews>
  <sheetFormatPr defaultColWidth="8.6640625" defaultRowHeight="14.4" x14ac:dyDescent="0.3"/>
  <cols>
    <col min="1" max="1" width="67.77734375" customWidth="1"/>
    <col min="2" max="2" width="22" customWidth="1"/>
    <col min="3" max="3" width="60" customWidth="1"/>
  </cols>
  <sheetData>
    <row r="1" spans="1:3" ht="17.25" customHeight="1" x14ac:dyDescent="0.3">
      <c r="A1" s="9" t="s">
        <v>325</v>
      </c>
    </row>
    <row r="3" spans="1:3" x14ac:dyDescent="0.3">
      <c r="A3" s="15" t="s">
        <v>326</v>
      </c>
      <c r="B3" s="15" t="s">
        <v>327</v>
      </c>
      <c r="C3" s="15" t="s">
        <v>328</v>
      </c>
    </row>
    <row r="4" spans="1:3" ht="33.75" customHeight="1" x14ac:dyDescent="0.3">
      <c r="A4" s="12" t="s">
        <v>329</v>
      </c>
      <c r="B4" s="12" t="s">
        <v>330</v>
      </c>
      <c r="C4" s="12" t="s">
        <v>331</v>
      </c>
    </row>
    <row r="5" spans="1:3" ht="33.75" customHeight="1" x14ac:dyDescent="0.3">
      <c r="A5" s="12" t="s">
        <v>332</v>
      </c>
      <c r="B5" s="12" t="s">
        <v>333</v>
      </c>
      <c r="C5" s="12" t="s">
        <v>334</v>
      </c>
    </row>
    <row r="6" spans="1:3" ht="33.75" customHeight="1" x14ac:dyDescent="0.3">
      <c r="A6" s="12" t="s">
        <v>335</v>
      </c>
      <c r="B6" s="12" t="s">
        <v>336</v>
      </c>
      <c r="C6" s="12" t="s">
        <v>337</v>
      </c>
    </row>
    <row r="7" spans="1:3" ht="33.75" customHeight="1" x14ac:dyDescent="0.3">
      <c r="A7" s="12" t="s">
        <v>338</v>
      </c>
      <c r="B7" s="12" t="s">
        <v>339</v>
      </c>
      <c r="C7" s="12" t="s">
        <v>340</v>
      </c>
    </row>
    <row r="8" spans="1:3" ht="33.75" customHeight="1" x14ac:dyDescent="0.3">
      <c r="A8" s="12" t="s">
        <v>341</v>
      </c>
      <c r="B8" s="12" t="s">
        <v>342</v>
      </c>
      <c r="C8" s="12" t="s">
        <v>343</v>
      </c>
    </row>
    <row r="9" spans="1:3" ht="33.75" customHeight="1" x14ac:dyDescent="0.3">
      <c r="A9" s="12" t="s">
        <v>344</v>
      </c>
      <c r="B9" s="12" t="s">
        <v>345</v>
      </c>
      <c r="C9" s="12" t="s">
        <v>346</v>
      </c>
    </row>
    <row r="10" spans="1:3" ht="33.75" customHeight="1" x14ac:dyDescent="0.3">
      <c r="A10" s="12" t="s">
        <v>347</v>
      </c>
      <c r="B10" s="12" t="s">
        <v>348</v>
      </c>
      <c r="C10" s="12" t="s">
        <v>76</v>
      </c>
    </row>
    <row r="11" spans="1:3" ht="33.75" customHeight="1" x14ac:dyDescent="0.3">
      <c r="A11" s="12" t="s">
        <v>349</v>
      </c>
      <c r="B11" s="12" t="s">
        <v>350</v>
      </c>
      <c r="C11" s="12" t="s">
        <v>351</v>
      </c>
    </row>
    <row r="12" spans="1:3" ht="33.75" customHeight="1" x14ac:dyDescent="0.3">
      <c r="A12" s="12" t="s">
        <v>352</v>
      </c>
      <c r="B12" s="12" t="s">
        <v>353</v>
      </c>
      <c r="C12" s="12" t="s">
        <v>354</v>
      </c>
    </row>
    <row r="13" spans="1:3" ht="33.75" customHeight="1" x14ac:dyDescent="0.3">
      <c r="A13" s="12" t="s">
        <v>355</v>
      </c>
      <c r="B13" s="12" t="s">
        <v>356</v>
      </c>
      <c r="C13" s="12" t="s">
        <v>357</v>
      </c>
    </row>
    <row r="14" spans="1:3" ht="33.75" customHeight="1" x14ac:dyDescent="0.3">
      <c r="A14" s="12" t="s">
        <v>358</v>
      </c>
      <c r="B14" s="12" t="s">
        <v>261</v>
      </c>
      <c r="C14" s="12" t="s">
        <v>359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README</vt:lpstr>
      <vt:lpstr>Assumptions</vt:lpstr>
      <vt:lpstr>GPU_Rental</vt:lpstr>
      <vt:lpstr>GPU_Sizing</vt:lpstr>
      <vt:lpstr>SelfHost_Llama_8B</vt:lpstr>
      <vt:lpstr>SelfHost_Mistral_24B</vt:lpstr>
      <vt:lpstr>SelfHost_Llama_70B</vt:lpstr>
      <vt:lpstr>Cohere_Private</vt:lpstr>
      <vt:lpstr>OCR_AWS_Textract</vt:lpstr>
      <vt:lpstr>OCR_GCP_DocAI</vt:lpstr>
      <vt:lpstr>OCR_Azure_DI</vt:lpstr>
      <vt:lpstr>OCR_SelfHosted</vt:lpstr>
      <vt:lpstr>OCR_LLM_Pipeline</vt:lpstr>
      <vt:lpstr>TCO_Summary</vt:lpstr>
      <vt:lpstr>Accuracy_SpotCheck</vt:lpstr>
      <vt:lpstr>Residency_Compliance</vt:lpstr>
      <vt:lpstr>Scoring_Matrix</vt:lpstr>
      <vt:lpstr>Recommendation</vt:lpstr>
      <vt:lpstr>Pricing_References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Sana Khan</cp:lastModifiedBy>
  <cp:revision>0</cp:revision>
  <dcterms:created xsi:type="dcterms:W3CDTF">2026-07-02T13:49:06Z</dcterms:created>
  <dcterms:modified xsi:type="dcterms:W3CDTF">2026-07-02T18:10:41Z</dcterms:modified>
  <dc:language>en-US</dc:language>
</cp:coreProperties>
</file>